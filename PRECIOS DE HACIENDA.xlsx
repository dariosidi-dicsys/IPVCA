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carano\Desktop\NUEVO SISTEMA ESTADISTICO\"/>
    </mc:Choice>
  </mc:AlternateContent>
  <xr:revisionPtr revIDLastSave="0" documentId="8_{F931D2D8-6C88-4C0E-8D05-B6920D92067F}" xr6:coauthVersionLast="47" xr6:coauthVersionMax="47" xr10:uidLastSave="{00000000-0000-0000-0000-000000000000}"/>
  <bookViews>
    <workbookView xWindow="-108" yWindow="-108" windowWidth="23256" windowHeight="12456" activeTab="1" xr2:uid="{90108B49-F715-4288-BB16-0A2E324DC641}"/>
  </bookViews>
  <sheets>
    <sheet name="ccdh orden" sheetId="3" r:id="rId1"/>
    <sheet name="MDO AGROGANADERO" sheetId="2" r:id="rId2"/>
    <sheet name="PROMEDIO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4" l="1"/>
  <c r="F5" i="4"/>
  <c r="F3" i="4"/>
  <c r="F4" i="4"/>
  <c r="B3" i="4"/>
  <c r="C80" i="2" l="1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L80" i="2"/>
  <c r="M80" i="2"/>
  <c r="N80" i="2"/>
  <c r="O80" i="2"/>
  <c r="P80" i="2"/>
  <c r="L79" i="2"/>
  <c r="M79" i="2"/>
  <c r="N79" i="2"/>
  <c r="O79" i="2"/>
  <c r="P79" i="2"/>
  <c r="L78" i="2"/>
  <c r="M78" i="2"/>
  <c r="N78" i="2"/>
  <c r="O78" i="2"/>
  <c r="P78" i="2"/>
  <c r="L77" i="2"/>
  <c r="M77" i="2"/>
  <c r="N77" i="2"/>
  <c r="O77" i="2"/>
  <c r="P77" i="2"/>
  <c r="L76" i="2"/>
  <c r="M76" i="2"/>
  <c r="N76" i="2"/>
  <c r="O76" i="2"/>
  <c r="P76" i="2"/>
  <c r="L75" i="2"/>
  <c r="M75" i="2"/>
  <c r="N75" i="2"/>
  <c r="O75" i="2"/>
  <c r="P75" i="2"/>
  <c r="L74" i="2"/>
  <c r="M74" i="2"/>
  <c r="N74" i="2"/>
  <c r="O74" i="2"/>
  <c r="P74" i="2"/>
  <c r="L73" i="2"/>
  <c r="M73" i="2"/>
  <c r="N73" i="2"/>
  <c r="O73" i="2"/>
  <c r="P73" i="2"/>
  <c r="L72" i="2"/>
  <c r="M72" i="2"/>
  <c r="N72" i="2"/>
  <c r="O72" i="2"/>
  <c r="P72" i="2"/>
  <c r="H6" i="4"/>
  <c r="H5" i="4"/>
  <c r="H4" i="4"/>
  <c r="H3" i="4"/>
  <c r="G6" i="4"/>
  <c r="G5" i="4"/>
  <c r="G4" i="4"/>
  <c r="G3" i="4"/>
  <c r="E6" i="4"/>
  <c r="E5" i="4"/>
  <c r="D5" i="4"/>
  <c r="D6" i="4"/>
  <c r="C6" i="4"/>
  <c r="B6" i="4"/>
  <c r="B5" i="4"/>
  <c r="E4" i="4"/>
  <c r="E3" i="4"/>
  <c r="D4" i="4"/>
  <c r="D3" i="4"/>
  <c r="C5" i="4"/>
  <c r="C4" i="4"/>
  <c r="C3" i="4"/>
  <c r="B4" i="4"/>
  <c r="P55" i="2"/>
  <c r="O55" i="2"/>
  <c r="M55" i="2"/>
  <c r="N55" i="2"/>
  <c r="L55" i="2"/>
  <c r="L71" i="2"/>
  <c r="M71" i="2"/>
  <c r="N71" i="2"/>
  <c r="O71" i="2"/>
  <c r="P71" i="2"/>
  <c r="L70" i="2"/>
  <c r="M70" i="2"/>
  <c r="N70" i="2"/>
  <c r="O70" i="2"/>
  <c r="P70" i="2"/>
  <c r="P69" i="2"/>
  <c r="O69" i="2"/>
  <c r="N69" i="2"/>
  <c r="M69" i="2"/>
  <c r="L69" i="2"/>
  <c r="P57" i="2"/>
  <c r="P58" i="2"/>
  <c r="P59" i="2"/>
  <c r="P60" i="2"/>
  <c r="P61" i="2"/>
  <c r="P62" i="2"/>
  <c r="P63" i="2"/>
  <c r="P64" i="2"/>
  <c r="P65" i="2"/>
  <c r="P66" i="2"/>
  <c r="P67" i="2"/>
  <c r="P68" i="2"/>
  <c r="O57" i="2"/>
  <c r="O58" i="2"/>
  <c r="O59" i="2"/>
  <c r="O60" i="2"/>
  <c r="O61" i="2"/>
  <c r="O62" i="2"/>
  <c r="O63" i="2"/>
  <c r="O64" i="2"/>
  <c r="O65" i="2"/>
  <c r="O66" i="2"/>
  <c r="O67" i="2"/>
  <c r="O68" i="2"/>
  <c r="N57" i="2"/>
  <c r="N58" i="2"/>
  <c r="N59" i="2"/>
  <c r="N60" i="2"/>
  <c r="N61" i="2"/>
  <c r="N62" i="2"/>
  <c r="N63" i="2"/>
  <c r="N64" i="2"/>
  <c r="N65" i="2"/>
  <c r="N66" i="2"/>
  <c r="N67" i="2"/>
  <c r="N68" i="2"/>
  <c r="M57" i="2"/>
  <c r="M58" i="2"/>
  <c r="M59" i="2"/>
  <c r="M60" i="2"/>
  <c r="M61" i="2"/>
  <c r="M62" i="2"/>
  <c r="M63" i="2"/>
  <c r="M64" i="2"/>
  <c r="M65" i="2"/>
  <c r="M66" i="2"/>
  <c r="M67" i="2"/>
  <c r="M68" i="2"/>
  <c r="L57" i="2"/>
  <c r="L58" i="2"/>
  <c r="L59" i="2"/>
  <c r="L60" i="2"/>
  <c r="L61" i="2"/>
  <c r="L62" i="2"/>
  <c r="L63" i="2"/>
  <c r="L64" i="2"/>
  <c r="L65" i="2"/>
  <c r="L66" i="2"/>
  <c r="L67" i="2"/>
  <c r="L68" i="2"/>
  <c r="P56" i="2"/>
  <c r="O56" i="2"/>
  <c r="N56" i="2"/>
  <c r="M56" i="2"/>
  <c r="L56" i="2"/>
  <c r="J8" i="4" l="1"/>
  <c r="M8" i="4"/>
  <c r="K7" i="4"/>
  <c r="J5" i="4"/>
  <c r="K6" i="4"/>
  <c r="J6" i="4"/>
  <c r="L8" i="4"/>
  <c r="M6" i="4"/>
  <c r="J7" i="4"/>
  <c r="K5" i="4"/>
  <c r="J4" i="4"/>
  <c r="M4" i="4"/>
  <c r="K4" i="4"/>
  <c r="L5" i="4"/>
  <c r="N5" i="4"/>
  <c r="K8" i="4"/>
  <c r="K3" i="4"/>
  <c r="M3" i="4"/>
  <c r="N3" i="4"/>
  <c r="L6" i="4"/>
  <c r="L4" i="4"/>
  <c r="M5" i="4"/>
  <c r="N6" i="4"/>
  <c r="N4" i="4"/>
  <c r="N7" i="4"/>
  <c r="N8" i="4"/>
  <c r="L3" i="4"/>
  <c r="L7" i="4"/>
  <c r="J3" i="4"/>
  <c r="M7" i="4"/>
</calcChain>
</file>

<file path=xl/sharedStrings.xml><?xml version="1.0" encoding="utf-8"?>
<sst xmlns="http://schemas.openxmlformats.org/spreadsheetml/2006/main" count="47" uniqueCount="35">
  <si>
    <t xml:space="preserve">M 440-460 </t>
  </si>
  <si>
    <t xml:space="preserve">M 460-490 </t>
  </si>
  <si>
    <t xml:space="preserve">M 490+ </t>
  </si>
  <si>
    <t>C 440-460</t>
  </si>
  <si>
    <t>C 460-490</t>
  </si>
  <si>
    <t>C 490+</t>
  </si>
  <si>
    <t>Overo Negro</t>
  </si>
  <si>
    <t>Vaquillona -350 (270-390)*</t>
  </si>
  <si>
    <t>Ternero Mestizo  INVERNADA (160 - 180 kg)</t>
  </si>
  <si>
    <t>Ternera Cruza (160 - 180 g)</t>
  </si>
  <si>
    <t>Vaca c/cría usada  (Julio)</t>
  </si>
  <si>
    <t>Indice NOV</t>
  </si>
  <si>
    <t>Indice Ternero Campo</t>
  </si>
  <si>
    <t>Vaca Corte (vaca Unión Europea)</t>
  </si>
  <si>
    <t>Vaca Manuf</t>
  </si>
  <si>
    <t>Vaca Conserva</t>
  </si>
  <si>
    <t>Consumo liviano</t>
  </si>
  <si>
    <t xml:space="preserve">Vaca Conserva </t>
  </si>
  <si>
    <t>Novillito 391/430</t>
  </si>
  <si>
    <t>NOVILLOS 431/460</t>
  </si>
  <si>
    <t>NOVILLOS 461/490</t>
  </si>
  <si>
    <t>NOVILLOS 491/520</t>
  </si>
  <si>
    <t>NOVILLOS + 520</t>
  </si>
  <si>
    <t xml:space="preserve">TC </t>
  </si>
  <si>
    <t xml:space="preserve">PIE EN PESOS </t>
  </si>
  <si>
    <t xml:space="preserve">PIE EN DÓLARES </t>
  </si>
  <si>
    <t xml:space="preserve">Ternero AA </t>
  </si>
  <si>
    <t xml:space="preserve">Ternera Cruza </t>
  </si>
  <si>
    <t>Vaca con cría</t>
  </si>
  <si>
    <t xml:space="preserve">Novillo Exp. </t>
  </si>
  <si>
    <t>PIE EN PESOS</t>
  </si>
  <si>
    <t xml:space="preserve">Novillito -300/390 (-350) </t>
  </si>
  <si>
    <t>Variación quincenal</t>
  </si>
  <si>
    <t>variacion mensual</t>
  </si>
  <si>
    <t>variación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</si>
</sst>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0">
    <xf numFmtId="0" fontId="0" fillId="0" borderId="0" xfId="0"/>
    <xf numFmtId="43" fontId="0" fillId="0" borderId="0" xfId="1" applyFont="1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43" fontId="0" fillId="0" borderId="1" xfId="1" applyFont="1" applyFill="1" applyBorder="1"/>
    <xf numFmtId="164" fontId="0" fillId="0" borderId="2" xfId="1" applyNumberFormat="1" applyFont="1" applyBorder="1"/>
    <xf numFmtId="0" fontId="3" fillId="0" borderId="0" xfId="0" applyFont="1"/>
    <xf numFmtId="43" fontId="0" fillId="0" borderId="0" xfId="1" applyFont="1" applyFill="1" applyBorder="1"/>
    <xf numFmtId="43" fontId="0" fillId="0" borderId="0" xfId="0" applyNumberFormat="1"/>
    <xf numFmtId="164" fontId="0" fillId="0" borderId="3" xfId="1" applyNumberFormat="1" applyFont="1" applyFill="1" applyBorder="1"/>
    <xf numFmtId="164" fontId="0" fillId="0" borderId="4" xfId="1" applyNumberFormat="1" applyFont="1" applyFill="1" applyBorder="1"/>
    <xf numFmtId="0" fontId="0" fillId="0" borderId="5" xfId="0" applyBorder="1" applyAlignment="1">
      <alignment vertical="distributed"/>
    </xf>
    <xf numFmtId="17" fontId="0" fillId="0" borderId="0" xfId="0" applyNumberFormat="1"/>
    <xf numFmtId="14" fontId="0" fillId="0" borderId="4" xfId="0" applyNumberFormat="1" applyBorder="1"/>
    <xf numFmtId="14" fontId="0" fillId="0" borderId="1" xfId="1" applyNumberFormat="1" applyFont="1" applyFill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Millares" xfId="1" builtinId="3"/>
    <cellStyle name="Normal" xfId="0" builtinId="0"/>
    <cellStyle name="Normal 2" xfId="2" xr:uid="{A4ED9C85-43D2-4984-88A7-604289DF13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7B86-CD1D-4F30-9E53-9DC423BA03BA}">
  <dimension ref="A1:O80"/>
  <sheetViews>
    <sheetView workbookViewId="0">
      <pane ySplit="1" topLeftCell="A17" activePane="bottomLeft" state="frozen"/>
      <selection pane="bottomLeft" activeCell="Q18" sqref="Q18"/>
    </sheetView>
  </sheetViews>
  <sheetFormatPr baseColWidth="10" defaultRowHeight="14.4" x14ac:dyDescent="0.3"/>
  <cols>
    <col min="1" max="1" width="11.6640625" style="2" customWidth="1"/>
    <col min="5" max="5" width="12.88671875" bestFit="1" customWidth="1"/>
    <col min="15" max="15" width="13.44140625" customWidth="1"/>
  </cols>
  <sheetData>
    <row r="1" spans="1:15" x14ac:dyDescent="0.3">
      <c r="A1" s="4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8</v>
      </c>
      <c r="J1" s="3" t="s">
        <v>9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</row>
    <row r="2" spans="1:15" x14ac:dyDescent="0.3">
      <c r="A2" s="4">
        <v>45660</v>
      </c>
      <c r="B2" s="5">
        <v>4000</v>
      </c>
      <c r="C2" s="5">
        <v>4400</v>
      </c>
      <c r="D2" s="5">
        <v>4400</v>
      </c>
      <c r="E2" s="5">
        <v>3900</v>
      </c>
      <c r="F2" s="5">
        <v>4200</v>
      </c>
      <c r="G2" s="5">
        <v>4200</v>
      </c>
      <c r="H2" s="5">
        <v>3900</v>
      </c>
      <c r="I2" s="5">
        <v>3200</v>
      </c>
      <c r="J2" s="5">
        <v>2700</v>
      </c>
      <c r="K2" s="5">
        <v>4142.5</v>
      </c>
      <c r="L2" s="5">
        <v>2750</v>
      </c>
      <c r="M2" s="5">
        <v>3800</v>
      </c>
      <c r="N2" s="5">
        <v>3200</v>
      </c>
      <c r="O2" s="5">
        <v>2900</v>
      </c>
    </row>
    <row r="3" spans="1:15" x14ac:dyDescent="0.3">
      <c r="A3" s="4">
        <v>45667</v>
      </c>
      <c r="B3" s="5">
        <v>4000</v>
      </c>
      <c r="C3" s="5">
        <v>4400</v>
      </c>
      <c r="D3" s="5">
        <v>4400</v>
      </c>
      <c r="E3" s="5">
        <v>3900</v>
      </c>
      <c r="F3" s="5">
        <v>4200</v>
      </c>
      <c r="G3" s="5">
        <v>4200</v>
      </c>
      <c r="H3" s="5">
        <v>3900</v>
      </c>
      <c r="I3" s="5">
        <v>3200</v>
      </c>
      <c r="J3" s="5">
        <v>2900</v>
      </c>
      <c r="K3" s="5">
        <v>4142.5</v>
      </c>
      <c r="L3" s="5">
        <v>2887.5</v>
      </c>
      <c r="M3" s="5">
        <v>3200</v>
      </c>
      <c r="N3" s="5">
        <v>2900</v>
      </c>
      <c r="O3" s="5">
        <v>3100</v>
      </c>
    </row>
    <row r="4" spans="1:15" x14ac:dyDescent="0.3">
      <c r="A4" s="4">
        <v>45674</v>
      </c>
      <c r="B4" s="5">
        <v>4200</v>
      </c>
      <c r="C4" s="5">
        <v>4400</v>
      </c>
      <c r="D4" s="5">
        <v>4400</v>
      </c>
      <c r="E4" s="5">
        <v>4000</v>
      </c>
      <c r="F4" s="5">
        <v>4100</v>
      </c>
      <c r="G4" s="5">
        <v>4100</v>
      </c>
      <c r="H4" s="5">
        <v>4000</v>
      </c>
      <c r="I4" s="5">
        <v>3200</v>
      </c>
      <c r="J4" s="5">
        <v>2900</v>
      </c>
      <c r="K4" s="5">
        <v>4245</v>
      </c>
      <c r="L4" s="5">
        <v>2887.5</v>
      </c>
      <c r="M4" s="5">
        <v>3800</v>
      </c>
      <c r="N4" s="5">
        <v>3200</v>
      </c>
      <c r="O4" s="5">
        <v>2900</v>
      </c>
    </row>
    <row r="5" spans="1:15" x14ac:dyDescent="0.3">
      <c r="A5" s="4">
        <v>45681</v>
      </c>
      <c r="B5" s="5">
        <v>4400</v>
      </c>
      <c r="C5" s="5">
        <v>4500</v>
      </c>
      <c r="D5" s="5">
        <v>4500</v>
      </c>
      <c r="E5" s="5">
        <v>4150</v>
      </c>
      <c r="F5" s="5">
        <v>4400</v>
      </c>
      <c r="G5" s="5">
        <v>4400</v>
      </c>
      <c r="H5" s="5">
        <v>4000</v>
      </c>
      <c r="I5" s="5">
        <v>3200</v>
      </c>
      <c r="J5" s="5">
        <v>2900</v>
      </c>
      <c r="K5" s="5">
        <v>4365</v>
      </c>
      <c r="L5" s="5">
        <v>2887.5</v>
      </c>
      <c r="M5" s="5">
        <v>3800</v>
      </c>
      <c r="N5" s="5">
        <v>3300</v>
      </c>
      <c r="O5" s="5">
        <v>3300</v>
      </c>
    </row>
    <row r="6" spans="1:15" x14ac:dyDescent="0.3">
      <c r="A6" s="4">
        <v>45688</v>
      </c>
      <c r="B6" s="5">
        <v>4700</v>
      </c>
      <c r="C6" s="5">
        <v>4600</v>
      </c>
      <c r="D6" s="5">
        <v>4600</v>
      </c>
      <c r="E6" s="5">
        <v>4400</v>
      </c>
      <c r="F6" s="5">
        <v>4500</v>
      </c>
      <c r="G6" s="5">
        <v>4500</v>
      </c>
      <c r="H6" s="5">
        <v>4200</v>
      </c>
      <c r="I6" s="5">
        <v>3300</v>
      </c>
      <c r="J6" s="5">
        <v>2900</v>
      </c>
      <c r="K6" s="5">
        <v>4595</v>
      </c>
      <c r="L6" s="5">
        <v>2975</v>
      </c>
      <c r="M6" s="5">
        <v>3900</v>
      </c>
      <c r="N6" s="5">
        <v>3300</v>
      </c>
      <c r="O6" s="5">
        <v>3000</v>
      </c>
    </row>
    <row r="7" spans="1:15" x14ac:dyDescent="0.3">
      <c r="A7" s="4">
        <v>45695</v>
      </c>
      <c r="B7" s="5">
        <v>4900</v>
      </c>
      <c r="C7" s="5">
        <v>4800</v>
      </c>
      <c r="D7" s="5">
        <v>4800</v>
      </c>
      <c r="E7" s="5">
        <v>4400</v>
      </c>
      <c r="F7" s="5">
        <v>4700</v>
      </c>
      <c r="G7" s="5">
        <v>4700</v>
      </c>
      <c r="H7" s="5">
        <v>4400</v>
      </c>
      <c r="I7" s="5">
        <v>3300</v>
      </c>
      <c r="J7" s="5">
        <v>2900</v>
      </c>
      <c r="K7" s="5">
        <v>4725</v>
      </c>
      <c r="L7" s="5">
        <v>2975</v>
      </c>
      <c r="M7" s="5">
        <v>3900</v>
      </c>
      <c r="N7" s="5">
        <v>3200</v>
      </c>
      <c r="O7" s="5">
        <v>3100</v>
      </c>
    </row>
    <row r="8" spans="1:15" x14ac:dyDescent="0.3">
      <c r="A8" s="4">
        <v>45702</v>
      </c>
      <c r="B8" s="5">
        <v>4900</v>
      </c>
      <c r="C8" s="5">
        <v>5000</v>
      </c>
      <c r="D8" s="5">
        <v>5000</v>
      </c>
      <c r="E8" s="5">
        <v>4600</v>
      </c>
      <c r="F8" s="5">
        <v>5000</v>
      </c>
      <c r="G8" s="5">
        <v>5000</v>
      </c>
      <c r="H8" s="5">
        <v>4700</v>
      </c>
      <c r="I8" s="5">
        <v>3400</v>
      </c>
      <c r="J8" s="5">
        <v>3100</v>
      </c>
      <c r="K8" s="5">
        <v>4918</v>
      </c>
      <c r="L8" s="5">
        <v>3088</v>
      </c>
      <c r="M8" s="5">
        <v>4000</v>
      </c>
      <c r="N8" s="5">
        <v>3250</v>
      </c>
      <c r="O8" s="5">
        <v>3150</v>
      </c>
    </row>
    <row r="9" spans="1:15" x14ac:dyDescent="0.3">
      <c r="A9" s="4">
        <v>45709</v>
      </c>
      <c r="B9" s="5">
        <v>4950</v>
      </c>
      <c r="C9" s="5">
        <v>5000</v>
      </c>
      <c r="D9" s="5">
        <v>5000</v>
      </c>
      <c r="E9" s="5">
        <v>4700</v>
      </c>
      <c r="F9" s="5">
        <v>4900</v>
      </c>
      <c r="G9" s="5">
        <v>4900</v>
      </c>
      <c r="H9" s="5">
        <v>4700</v>
      </c>
      <c r="I9" s="5">
        <v>3400</v>
      </c>
      <c r="J9" s="5">
        <v>3100</v>
      </c>
      <c r="K9" s="5">
        <v>4915</v>
      </c>
      <c r="L9" s="5">
        <v>3087.5</v>
      </c>
      <c r="M9" s="5">
        <v>4000</v>
      </c>
      <c r="N9" s="5">
        <v>3100</v>
      </c>
      <c r="O9" s="5">
        <v>2900</v>
      </c>
    </row>
    <row r="10" spans="1:15" x14ac:dyDescent="0.3">
      <c r="A10" s="4">
        <v>45716</v>
      </c>
      <c r="B10" s="5">
        <v>5100</v>
      </c>
      <c r="C10" s="5">
        <v>5100</v>
      </c>
      <c r="D10" s="5">
        <v>5100</v>
      </c>
      <c r="E10" s="5">
        <v>4850</v>
      </c>
      <c r="F10" s="5">
        <v>5000</v>
      </c>
      <c r="G10" s="5">
        <v>5000</v>
      </c>
      <c r="H10" s="5">
        <v>4800</v>
      </c>
      <c r="I10" s="5">
        <v>3500</v>
      </c>
      <c r="J10" s="5">
        <v>3200</v>
      </c>
      <c r="K10" s="5">
        <v>5005</v>
      </c>
      <c r="L10" s="5">
        <v>3150</v>
      </c>
      <c r="M10" s="5">
        <v>4000</v>
      </c>
      <c r="N10" s="5">
        <v>3100</v>
      </c>
      <c r="O10" s="5">
        <v>2900</v>
      </c>
    </row>
    <row r="11" spans="1:15" x14ac:dyDescent="0.3">
      <c r="A11" s="4">
        <v>45723</v>
      </c>
      <c r="B11" s="5">
        <v>5000</v>
      </c>
      <c r="C11" s="5">
        <v>5100</v>
      </c>
      <c r="D11" s="5">
        <v>5100</v>
      </c>
      <c r="E11" s="5">
        <v>4850</v>
      </c>
      <c r="F11" s="5">
        <v>5000</v>
      </c>
      <c r="G11" s="5">
        <v>5000</v>
      </c>
      <c r="H11" s="5">
        <v>4600</v>
      </c>
      <c r="I11" s="5">
        <v>3500</v>
      </c>
      <c r="J11" s="5">
        <v>3200</v>
      </c>
      <c r="K11" s="5">
        <v>4997.5</v>
      </c>
      <c r="L11" s="5">
        <v>3150</v>
      </c>
      <c r="M11" s="5">
        <v>4000</v>
      </c>
      <c r="N11" s="5">
        <v>3100</v>
      </c>
      <c r="O11" s="5">
        <v>2900</v>
      </c>
    </row>
    <row r="12" spans="1:15" x14ac:dyDescent="0.3">
      <c r="A12" s="4">
        <v>45730</v>
      </c>
      <c r="B12" s="5">
        <v>5200</v>
      </c>
      <c r="C12" s="5">
        <v>5100</v>
      </c>
      <c r="D12" s="5">
        <v>5100</v>
      </c>
      <c r="E12" s="5">
        <v>5000</v>
      </c>
      <c r="F12" s="5">
        <v>5000</v>
      </c>
      <c r="G12" s="5">
        <v>5000</v>
      </c>
      <c r="H12" s="5">
        <v>4800</v>
      </c>
      <c r="I12" s="5">
        <v>3600</v>
      </c>
      <c r="J12" s="5">
        <v>3200</v>
      </c>
      <c r="K12" s="5">
        <v>5160</v>
      </c>
      <c r="L12" s="5">
        <v>3250</v>
      </c>
      <c r="M12" s="5">
        <v>4100</v>
      </c>
      <c r="N12" s="5">
        <v>3300</v>
      </c>
      <c r="O12" s="5">
        <v>3000</v>
      </c>
    </row>
    <row r="13" spans="1:15" x14ac:dyDescent="0.3">
      <c r="A13" s="4">
        <v>45737</v>
      </c>
      <c r="B13" s="5">
        <v>5300</v>
      </c>
      <c r="C13" s="5">
        <v>5200</v>
      </c>
      <c r="D13" s="5">
        <v>5200</v>
      </c>
      <c r="E13" s="5">
        <v>5100</v>
      </c>
      <c r="F13" s="5">
        <v>5100</v>
      </c>
      <c r="G13" s="5">
        <v>5100</v>
      </c>
      <c r="H13" s="5">
        <v>4800</v>
      </c>
      <c r="I13" s="5">
        <v>3600</v>
      </c>
      <c r="J13" s="5">
        <v>3200</v>
      </c>
      <c r="K13" s="5">
        <v>5210</v>
      </c>
      <c r="L13" s="5">
        <v>3250</v>
      </c>
      <c r="M13" s="5">
        <v>4100</v>
      </c>
      <c r="N13" s="5">
        <v>3300</v>
      </c>
      <c r="O13" s="5">
        <v>2900</v>
      </c>
    </row>
    <row r="14" spans="1:15" x14ac:dyDescent="0.3">
      <c r="A14" s="4">
        <v>45744</v>
      </c>
      <c r="B14" s="5">
        <v>5200</v>
      </c>
      <c r="C14" s="5">
        <v>5100</v>
      </c>
      <c r="D14" s="5">
        <v>5100</v>
      </c>
      <c r="E14" s="5">
        <v>5000</v>
      </c>
      <c r="F14" s="5">
        <v>5000</v>
      </c>
      <c r="G14" s="5">
        <v>5000</v>
      </c>
      <c r="H14" s="5">
        <v>4800</v>
      </c>
      <c r="I14" s="5">
        <v>3600</v>
      </c>
      <c r="J14" s="5">
        <v>3300</v>
      </c>
      <c r="K14" s="5">
        <v>5220</v>
      </c>
      <c r="L14" s="5">
        <v>3287.5</v>
      </c>
      <c r="M14" s="5">
        <v>4000</v>
      </c>
      <c r="N14" s="5">
        <v>3300</v>
      </c>
      <c r="O14" s="5">
        <v>3000</v>
      </c>
    </row>
    <row r="15" spans="1:15" x14ac:dyDescent="0.3">
      <c r="A15" s="16">
        <v>45751</v>
      </c>
      <c r="B15" s="5">
        <v>5200</v>
      </c>
      <c r="C15" s="5">
        <v>5100</v>
      </c>
      <c r="D15" s="5">
        <v>5100</v>
      </c>
      <c r="E15" s="5">
        <v>5000</v>
      </c>
      <c r="F15" s="5">
        <v>5000</v>
      </c>
      <c r="G15" s="5">
        <v>5000</v>
      </c>
      <c r="H15" s="5">
        <v>4800</v>
      </c>
      <c r="I15" s="5">
        <v>3600</v>
      </c>
      <c r="J15" s="5">
        <v>3300</v>
      </c>
      <c r="K15" s="5">
        <v>5145</v>
      </c>
      <c r="L15" s="5">
        <v>3287.5</v>
      </c>
      <c r="M15" s="5">
        <v>3900</v>
      </c>
      <c r="N15" s="5">
        <v>3200</v>
      </c>
      <c r="O15" s="5">
        <v>3000</v>
      </c>
    </row>
    <row r="16" spans="1:15" x14ac:dyDescent="0.3">
      <c r="A16" s="16">
        <v>45758</v>
      </c>
      <c r="B16" s="5">
        <v>5100</v>
      </c>
      <c r="C16" s="5">
        <v>5100</v>
      </c>
      <c r="D16" s="5">
        <v>5100</v>
      </c>
      <c r="E16" s="5">
        <v>5000</v>
      </c>
      <c r="F16" s="5">
        <v>5000</v>
      </c>
      <c r="G16" s="5">
        <v>5000</v>
      </c>
      <c r="H16" s="5">
        <v>4800</v>
      </c>
      <c r="I16" s="5">
        <v>3600</v>
      </c>
      <c r="J16" s="5">
        <v>3300</v>
      </c>
      <c r="K16" s="5">
        <v>5160</v>
      </c>
      <c r="L16" s="5">
        <v>3312.5</v>
      </c>
      <c r="M16" s="5">
        <v>3900</v>
      </c>
      <c r="N16" s="5">
        <v>3100</v>
      </c>
      <c r="O16" s="5">
        <v>3000</v>
      </c>
    </row>
    <row r="17" spans="1:15" x14ac:dyDescent="0.3">
      <c r="A17" s="16">
        <v>45765</v>
      </c>
      <c r="B17" s="5">
        <v>5100</v>
      </c>
      <c r="C17" s="5">
        <v>5100</v>
      </c>
      <c r="D17" s="5">
        <v>5100</v>
      </c>
      <c r="E17" s="5">
        <v>5000</v>
      </c>
      <c r="F17" s="5">
        <v>5000</v>
      </c>
      <c r="G17" s="5">
        <v>5000</v>
      </c>
      <c r="H17" s="5">
        <v>4800</v>
      </c>
      <c r="I17" s="5">
        <v>3600</v>
      </c>
      <c r="J17" s="5">
        <v>3300</v>
      </c>
      <c r="K17" s="5">
        <v>5160</v>
      </c>
      <c r="L17" s="5">
        <v>3312.5</v>
      </c>
      <c r="M17" s="5">
        <v>4100</v>
      </c>
      <c r="N17" s="5">
        <v>3300</v>
      </c>
      <c r="O17" s="5">
        <v>3200</v>
      </c>
    </row>
    <row r="18" spans="1:15" x14ac:dyDescent="0.3">
      <c r="A18" s="16">
        <v>45772</v>
      </c>
      <c r="B18" s="5">
        <v>5100</v>
      </c>
      <c r="C18" s="5">
        <v>5000</v>
      </c>
      <c r="D18" s="5">
        <v>5000</v>
      </c>
      <c r="E18" s="5">
        <v>5000</v>
      </c>
      <c r="F18" s="5">
        <v>4900</v>
      </c>
      <c r="G18" s="5">
        <v>4900</v>
      </c>
      <c r="H18" s="5">
        <v>4800</v>
      </c>
      <c r="I18" s="5">
        <v>3600</v>
      </c>
      <c r="J18" s="5">
        <v>3300</v>
      </c>
      <c r="K18" s="5">
        <v>5110</v>
      </c>
      <c r="L18" s="5">
        <v>3312.5</v>
      </c>
      <c r="M18" s="5">
        <v>4000</v>
      </c>
      <c r="N18" s="5">
        <v>3400</v>
      </c>
      <c r="O18" s="5">
        <v>3200</v>
      </c>
    </row>
    <row r="19" spans="1:15" x14ac:dyDescent="0.3">
      <c r="A19" s="16">
        <v>45779</v>
      </c>
      <c r="B19" s="5">
        <v>5100</v>
      </c>
      <c r="C19" s="5">
        <v>5000</v>
      </c>
      <c r="D19" s="5">
        <v>5000</v>
      </c>
      <c r="E19" s="5">
        <v>5000</v>
      </c>
      <c r="F19" s="5">
        <v>4900</v>
      </c>
      <c r="G19" s="5">
        <v>4900</v>
      </c>
      <c r="H19" s="5">
        <v>4600</v>
      </c>
      <c r="I19" s="5">
        <v>3700</v>
      </c>
      <c r="J19" s="5">
        <v>3400</v>
      </c>
      <c r="K19" s="5">
        <v>5110</v>
      </c>
      <c r="L19" s="5">
        <v>3412.5</v>
      </c>
      <c r="M19" s="5">
        <v>4000</v>
      </c>
      <c r="N19" s="5">
        <v>3400</v>
      </c>
      <c r="O19" s="5">
        <v>3200</v>
      </c>
    </row>
    <row r="20" spans="1:15" x14ac:dyDescent="0.3">
      <c r="A20" s="16">
        <v>45785</v>
      </c>
      <c r="B20" s="5">
        <v>5200</v>
      </c>
      <c r="C20" s="5">
        <v>5150</v>
      </c>
      <c r="D20" s="5">
        <v>5150</v>
      </c>
      <c r="E20" s="5">
        <v>5000</v>
      </c>
      <c r="F20" s="5">
        <v>5000</v>
      </c>
      <c r="G20" s="5">
        <v>5000</v>
      </c>
      <c r="H20" s="5">
        <v>4600</v>
      </c>
      <c r="I20" s="5">
        <v>3700</v>
      </c>
      <c r="J20" s="5">
        <v>3400</v>
      </c>
      <c r="K20" s="5">
        <v>5190</v>
      </c>
      <c r="L20" s="5">
        <v>3412.5</v>
      </c>
      <c r="M20" s="5">
        <v>4200</v>
      </c>
      <c r="N20" s="5">
        <v>3300</v>
      </c>
      <c r="O20" s="5">
        <v>3100</v>
      </c>
    </row>
    <row r="21" spans="1:15" x14ac:dyDescent="0.3">
      <c r="A21" s="16">
        <v>45793</v>
      </c>
      <c r="B21" s="5">
        <v>5100</v>
      </c>
      <c r="C21" s="5">
        <v>5150</v>
      </c>
      <c r="D21" s="5">
        <v>5150</v>
      </c>
      <c r="E21" s="5">
        <v>4900</v>
      </c>
      <c r="F21" s="5">
        <v>5000</v>
      </c>
      <c r="G21" s="5">
        <v>5000</v>
      </c>
      <c r="H21" s="5">
        <v>4600</v>
      </c>
      <c r="I21" s="5">
        <v>3700</v>
      </c>
      <c r="J21" s="5">
        <v>3400</v>
      </c>
      <c r="K21" s="5">
        <v>5140</v>
      </c>
      <c r="L21" s="5">
        <v>3412.5</v>
      </c>
      <c r="M21" s="5">
        <v>4200</v>
      </c>
      <c r="N21" s="5">
        <v>3400</v>
      </c>
      <c r="O21" s="5">
        <v>3200</v>
      </c>
    </row>
    <row r="22" spans="1:15" x14ac:dyDescent="0.3">
      <c r="A22" s="16">
        <v>45800</v>
      </c>
      <c r="B22" s="5">
        <v>5100</v>
      </c>
      <c r="C22" s="5">
        <v>5100</v>
      </c>
      <c r="D22" s="5">
        <v>5100</v>
      </c>
      <c r="E22" s="5">
        <v>4800</v>
      </c>
      <c r="F22" s="5">
        <v>5000</v>
      </c>
      <c r="G22" s="5">
        <v>5000</v>
      </c>
      <c r="H22" s="5">
        <v>4600</v>
      </c>
      <c r="I22" s="5">
        <v>3900</v>
      </c>
      <c r="J22" s="5">
        <v>3400</v>
      </c>
      <c r="K22" s="5">
        <v>5080</v>
      </c>
      <c r="L22" s="5">
        <v>3525</v>
      </c>
      <c r="M22" s="5">
        <v>4150</v>
      </c>
      <c r="N22" s="5">
        <v>3300</v>
      </c>
      <c r="O22" s="5">
        <v>3100</v>
      </c>
    </row>
    <row r="23" spans="1:15" x14ac:dyDescent="0.3">
      <c r="A23" s="16">
        <v>45807</v>
      </c>
      <c r="B23" s="5">
        <v>5200</v>
      </c>
      <c r="C23" s="5">
        <v>5100</v>
      </c>
      <c r="D23" s="5">
        <v>5100</v>
      </c>
      <c r="E23" s="5">
        <v>4900</v>
      </c>
      <c r="F23" s="5">
        <v>5000</v>
      </c>
      <c r="G23" s="5">
        <v>5000</v>
      </c>
      <c r="H23" s="5">
        <v>4600</v>
      </c>
      <c r="I23" s="5">
        <v>3900</v>
      </c>
      <c r="J23" s="5">
        <v>3400</v>
      </c>
      <c r="K23" s="5">
        <v>5140</v>
      </c>
      <c r="L23" s="5">
        <v>3525</v>
      </c>
      <c r="M23" s="5">
        <v>4150</v>
      </c>
      <c r="N23" s="5">
        <v>3300</v>
      </c>
      <c r="O23" s="5">
        <v>3100</v>
      </c>
    </row>
    <row r="24" spans="1:15" x14ac:dyDescent="0.3">
      <c r="A24" s="16">
        <v>45814</v>
      </c>
      <c r="B24" s="5">
        <v>5100</v>
      </c>
      <c r="C24" s="5">
        <v>5100</v>
      </c>
      <c r="D24" s="5">
        <v>5100</v>
      </c>
      <c r="E24" s="5">
        <v>4800</v>
      </c>
      <c r="F24" s="5">
        <v>5000</v>
      </c>
      <c r="G24" s="5">
        <v>5000</v>
      </c>
      <c r="H24" s="5">
        <v>4600</v>
      </c>
      <c r="I24" s="5">
        <v>4100</v>
      </c>
      <c r="J24" s="5">
        <v>3400</v>
      </c>
      <c r="K24" s="5">
        <v>5100</v>
      </c>
      <c r="L24" s="5">
        <v>3625</v>
      </c>
      <c r="M24" s="5">
        <v>4150</v>
      </c>
      <c r="N24" s="5">
        <v>3300</v>
      </c>
      <c r="O24" s="5">
        <v>3000</v>
      </c>
    </row>
    <row r="25" spans="1:15" x14ac:dyDescent="0.3">
      <c r="A25" s="16">
        <v>45821</v>
      </c>
      <c r="B25" s="5">
        <v>5100</v>
      </c>
      <c r="C25" s="5">
        <v>5200</v>
      </c>
      <c r="D25" s="5">
        <v>5200</v>
      </c>
      <c r="E25" s="5">
        <v>4800</v>
      </c>
      <c r="F25" s="5">
        <v>5100</v>
      </c>
      <c r="G25" s="5">
        <v>5100</v>
      </c>
      <c r="H25" s="5">
        <v>4700</v>
      </c>
      <c r="I25" s="5">
        <v>4100</v>
      </c>
      <c r="J25" s="5">
        <v>3400</v>
      </c>
      <c r="K25" s="5">
        <v>5140</v>
      </c>
      <c r="L25" s="5">
        <v>3625</v>
      </c>
      <c r="M25" s="5">
        <v>3950</v>
      </c>
      <c r="N25" s="5">
        <v>3300</v>
      </c>
      <c r="O25" s="5">
        <v>3000</v>
      </c>
    </row>
    <row r="26" spans="1:15" x14ac:dyDescent="0.3">
      <c r="A26" s="4">
        <v>45828</v>
      </c>
      <c r="B26" s="5">
        <v>5200</v>
      </c>
      <c r="C26" s="5">
        <v>5200</v>
      </c>
      <c r="D26" s="5">
        <v>5200</v>
      </c>
      <c r="E26" s="5">
        <v>4800</v>
      </c>
      <c r="F26" s="5">
        <v>5000</v>
      </c>
      <c r="G26" s="5">
        <v>5000</v>
      </c>
      <c r="H26" s="5">
        <v>4700</v>
      </c>
      <c r="I26" s="5">
        <v>4100</v>
      </c>
      <c r="J26" s="5">
        <v>3400</v>
      </c>
      <c r="K26" s="5">
        <v>5142.5</v>
      </c>
      <c r="L26" s="5">
        <v>3625</v>
      </c>
      <c r="M26" s="5">
        <v>4200</v>
      </c>
      <c r="N26" s="5">
        <v>3400</v>
      </c>
      <c r="O26" s="5">
        <v>3000</v>
      </c>
    </row>
    <row r="27" spans="1:15" x14ac:dyDescent="0.3">
      <c r="A27" s="4">
        <v>45835</v>
      </c>
      <c r="B27" s="5">
        <v>5100</v>
      </c>
      <c r="C27" s="5">
        <v>5250</v>
      </c>
      <c r="D27" s="5">
        <v>5250</v>
      </c>
      <c r="E27" s="5">
        <v>4700</v>
      </c>
      <c r="F27" s="5">
        <v>5050</v>
      </c>
      <c r="G27" s="5">
        <v>5050</v>
      </c>
      <c r="H27" s="5">
        <v>4750</v>
      </c>
      <c r="I27" s="5">
        <v>4100</v>
      </c>
      <c r="J27" s="5">
        <v>3400</v>
      </c>
      <c r="K27" s="5">
        <v>5112.5</v>
      </c>
      <c r="L27" s="5">
        <v>3625</v>
      </c>
      <c r="M27" s="5">
        <v>4200</v>
      </c>
      <c r="N27" s="5">
        <v>3400</v>
      </c>
      <c r="O27" s="5">
        <v>3000</v>
      </c>
    </row>
    <row r="28" spans="1:15" x14ac:dyDescent="0.3">
      <c r="A28" s="4">
        <v>45842</v>
      </c>
      <c r="B28" s="5">
        <v>5200</v>
      </c>
      <c r="C28" s="5">
        <v>5300</v>
      </c>
      <c r="D28" s="5">
        <v>5300</v>
      </c>
      <c r="E28" s="5">
        <v>5000</v>
      </c>
      <c r="F28" s="5">
        <v>5100</v>
      </c>
      <c r="G28" s="5">
        <v>5100</v>
      </c>
      <c r="H28" s="5">
        <v>4800</v>
      </c>
      <c r="I28" s="5">
        <v>4100</v>
      </c>
      <c r="J28" s="5">
        <v>3400</v>
      </c>
      <c r="K28" s="5">
        <v>5205</v>
      </c>
      <c r="L28" s="5">
        <v>3625</v>
      </c>
      <c r="M28" s="5">
        <v>4400</v>
      </c>
      <c r="N28" s="5">
        <v>3400</v>
      </c>
      <c r="O28" s="5">
        <v>3200</v>
      </c>
    </row>
    <row r="29" spans="1:15" x14ac:dyDescent="0.3">
      <c r="A29" s="4">
        <v>45849</v>
      </c>
      <c r="B29" s="5">
        <v>5200</v>
      </c>
      <c r="C29" s="5">
        <v>5350</v>
      </c>
      <c r="D29" s="5">
        <v>5350</v>
      </c>
      <c r="E29" s="5">
        <v>5000</v>
      </c>
      <c r="F29" s="5">
        <v>5150</v>
      </c>
      <c r="G29" s="5">
        <v>5150</v>
      </c>
      <c r="H29" s="5">
        <v>4850</v>
      </c>
      <c r="I29" s="5">
        <v>4100</v>
      </c>
      <c r="J29" s="5">
        <v>3400</v>
      </c>
      <c r="K29" s="5">
        <v>5225</v>
      </c>
      <c r="L29" s="5">
        <v>3625</v>
      </c>
      <c r="M29" s="5">
        <v>4450</v>
      </c>
      <c r="N29" s="5">
        <v>3450</v>
      </c>
      <c r="O29" s="5">
        <v>3200</v>
      </c>
    </row>
    <row r="30" spans="1:15" x14ac:dyDescent="0.3">
      <c r="A30" s="4">
        <v>45856</v>
      </c>
      <c r="B30" s="5">
        <v>5300</v>
      </c>
      <c r="C30" s="5">
        <v>5400</v>
      </c>
      <c r="D30" s="5">
        <v>5400</v>
      </c>
      <c r="E30" s="5">
        <v>5100</v>
      </c>
      <c r="F30" s="5">
        <v>5200</v>
      </c>
      <c r="G30" s="5">
        <v>5200</v>
      </c>
      <c r="H30" s="5">
        <v>5000</v>
      </c>
      <c r="I30" s="5">
        <v>4100</v>
      </c>
      <c r="J30" s="5">
        <v>3400</v>
      </c>
      <c r="K30" s="5">
        <v>5320</v>
      </c>
      <c r="L30" s="5">
        <v>3625</v>
      </c>
      <c r="M30" s="5">
        <v>4300</v>
      </c>
      <c r="N30" s="5">
        <v>3500</v>
      </c>
      <c r="O30" s="5">
        <v>3200</v>
      </c>
    </row>
    <row r="31" spans="1:15" x14ac:dyDescent="0.3">
      <c r="A31" s="4">
        <v>45863</v>
      </c>
      <c r="B31" s="5">
        <v>5500</v>
      </c>
      <c r="C31" s="5">
        <v>5500</v>
      </c>
      <c r="D31" s="5">
        <v>5500</v>
      </c>
      <c r="E31" s="5">
        <v>5200</v>
      </c>
      <c r="F31" s="5">
        <v>5300</v>
      </c>
      <c r="G31" s="5">
        <v>5300</v>
      </c>
      <c r="H31" s="5">
        <v>5000</v>
      </c>
      <c r="I31" s="5">
        <v>4100</v>
      </c>
      <c r="J31" s="5">
        <v>3400</v>
      </c>
      <c r="K31" s="5">
        <v>5395</v>
      </c>
      <c r="L31" s="5">
        <v>3625</v>
      </c>
      <c r="M31" s="5">
        <v>4400</v>
      </c>
      <c r="N31" s="5">
        <v>3700</v>
      </c>
      <c r="O31" s="5">
        <v>3200</v>
      </c>
    </row>
    <row r="32" spans="1:15" x14ac:dyDescent="0.3">
      <c r="A32" s="4">
        <v>45870</v>
      </c>
      <c r="B32" s="5">
        <v>5600</v>
      </c>
      <c r="C32" s="5">
        <v>5650</v>
      </c>
      <c r="D32" s="5">
        <v>5650</v>
      </c>
      <c r="E32" s="5">
        <v>5300</v>
      </c>
      <c r="F32" s="5">
        <v>5450</v>
      </c>
      <c r="G32" s="5">
        <v>5450</v>
      </c>
      <c r="H32" s="5">
        <v>5150</v>
      </c>
      <c r="I32" s="5">
        <v>4100</v>
      </c>
      <c r="J32" s="5">
        <v>3400</v>
      </c>
      <c r="K32" s="5">
        <v>5475</v>
      </c>
      <c r="L32" s="5">
        <v>3625</v>
      </c>
      <c r="M32" s="5">
        <v>4600</v>
      </c>
      <c r="N32" s="5">
        <v>3800</v>
      </c>
      <c r="O32" s="5">
        <v>3300</v>
      </c>
    </row>
    <row r="33" spans="1:15" x14ac:dyDescent="0.3">
      <c r="A33" s="4">
        <v>45877</v>
      </c>
      <c r="B33" s="5">
        <v>5500</v>
      </c>
      <c r="C33" s="5">
        <v>5800</v>
      </c>
      <c r="D33" s="5">
        <v>5800</v>
      </c>
      <c r="E33" s="5">
        <v>5200</v>
      </c>
      <c r="F33" s="5">
        <v>5500</v>
      </c>
      <c r="G33" s="5">
        <v>5500</v>
      </c>
      <c r="H33" s="5">
        <v>5200</v>
      </c>
      <c r="I33" s="5">
        <v>4100</v>
      </c>
      <c r="J33" s="5">
        <v>3500</v>
      </c>
      <c r="K33" s="5">
        <v>5510</v>
      </c>
      <c r="L33" s="5">
        <v>3650</v>
      </c>
      <c r="M33" s="5">
        <v>4850</v>
      </c>
      <c r="N33" s="5">
        <v>4000</v>
      </c>
      <c r="O33" s="5">
        <v>3600</v>
      </c>
    </row>
    <row r="34" spans="1:15" x14ac:dyDescent="0.3">
      <c r="A34" s="4">
        <v>45884</v>
      </c>
      <c r="B34" s="5">
        <v>5500</v>
      </c>
      <c r="C34" s="5">
        <v>5900</v>
      </c>
      <c r="D34" s="5">
        <v>5900</v>
      </c>
      <c r="E34" s="5">
        <v>5300</v>
      </c>
      <c r="F34" s="5">
        <v>5600</v>
      </c>
      <c r="G34" s="5">
        <v>5600</v>
      </c>
      <c r="H34" s="5">
        <v>5300</v>
      </c>
      <c r="I34" s="5">
        <v>4100</v>
      </c>
      <c r="J34" s="5">
        <v>3500</v>
      </c>
      <c r="K34" s="5">
        <v>5555</v>
      </c>
      <c r="L34" s="5">
        <v>3650</v>
      </c>
      <c r="M34" s="5">
        <v>5000</v>
      </c>
      <c r="N34" s="5">
        <v>4000</v>
      </c>
      <c r="O34" s="5">
        <v>3700</v>
      </c>
    </row>
    <row r="35" spans="1:15" x14ac:dyDescent="0.3">
      <c r="A35" s="4">
        <v>45891</v>
      </c>
      <c r="B35" s="5">
        <v>5500</v>
      </c>
      <c r="C35" s="5">
        <v>6000</v>
      </c>
      <c r="D35" s="5">
        <v>6000</v>
      </c>
      <c r="E35" s="5">
        <v>5200</v>
      </c>
      <c r="F35" s="5">
        <v>5700</v>
      </c>
      <c r="G35" s="5">
        <v>5700</v>
      </c>
      <c r="H35" s="5">
        <v>5400</v>
      </c>
      <c r="I35" s="5">
        <v>4100</v>
      </c>
      <c r="J35" s="5">
        <v>3500</v>
      </c>
      <c r="K35" s="5">
        <v>5580</v>
      </c>
      <c r="L35" s="5">
        <v>3650</v>
      </c>
      <c r="M35" s="5">
        <v>5200</v>
      </c>
      <c r="N35" s="5">
        <v>4200</v>
      </c>
      <c r="O35" s="5">
        <v>4000</v>
      </c>
    </row>
    <row r="36" spans="1:15" x14ac:dyDescent="0.3">
      <c r="A36" s="4">
        <v>45898</v>
      </c>
      <c r="B36" s="5">
        <v>5700</v>
      </c>
      <c r="C36" s="5">
        <v>6100</v>
      </c>
      <c r="D36" s="5">
        <v>6100</v>
      </c>
      <c r="E36" s="5">
        <v>5400</v>
      </c>
      <c r="F36" s="5">
        <v>5900</v>
      </c>
      <c r="G36" s="5">
        <v>5900</v>
      </c>
      <c r="H36" s="5">
        <v>5400</v>
      </c>
      <c r="I36" s="5">
        <v>4100</v>
      </c>
      <c r="J36" s="5">
        <v>3500</v>
      </c>
      <c r="K36" s="5">
        <v>5715</v>
      </c>
      <c r="L36" s="5">
        <v>3650</v>
      </c>
      <c r="M36" s="5">
        <v>5200</v>
      </c>
      <c r="N36" s="5">
        <v>4500</v>
      </c>
      <c r="O36" s="5">
        <v>4400</v>
      </c>
    </row>
    <row r="37" spans="1:15" x14ac:dyDescent="0.3">
      <c r="A37" s="4">
        <v>45905</v>
      </c>
      <c r="B37" s="5">
        <v>5700</v>
      </c>
      <c r="C37" s="5">
        <v>6100</v>
      </c>
      <c r="D37" s="5">
        <v>6100</v>
      </c>
      <c r="E37" s="5">
        <v>5400</v>
      </c>
      <c r="F37" s="5">
        <v>6000</v>
      </c>
      <c r="G37" s="5">
        <v>6000</v>
      </c>
      <c r="H37" s="5">
        <v>5500</v>
      </c>
      <c r="I37" s="5">
        <v>4200</v>
      </c>
      <c r="J37" s="5">
        <v>3700</v>
      </c>
      <c r="K37" s="5">
        <v>5750</v>
      </c>
      <c r="L37" s="5">
        <v>3762.5</v>
      </c>
      <c r="M37" s="5">
        <v>5200</v>
      </c>
      <c r="N37" s="5">
        <v>4500</v>
      </c>
      <c r="O37" s="5">
        <v>4200</v>
      </c>
    </row>
    <row r="38" spans="1:15" x14ac:dyDescent="0.3">
      <c r="A38" s="4">
        <v>45912</v>
      </c>
      <c r="B38" s="5">
        <v>5750</v>
      </c>
      <c r="C38" s="5">
        <v>6100</v>
      </c>
      <c r="D38" s="5">
        <v>6100</v>
      </c>
      <c r="E38" s="5">
        <v>5450</v>
      </c>
      <c r="F38" s="5">
        <v>6000</v>
      </c>
      <c r="G38" s="5">
        <v>6000</v>
      </c>
      <c r="H38" s="5">
        <v>5700</v>
      </c>
      <c r="I38" s="5">
        <v>4200</v>
      </c>
      <c r="J38" s="5">
        <v>3700</v>
      </c>
      <c r="K38" s="5">
        <v>5780</v>
      </c>
      <c r="L38" s="5">
        <v>3762.5</v>
      </c>
      <c r="M38" s="5">
        <v>5300</v>
      </c>
      <c r="N38" s="5">
        <v>4600</v>
      </c>
      <c r="O38" s="5">
        <v>4300</v>
      </c>
    </row>
    <row r="39" spans="1:15" x14ac:dyDescent="0.3">
      <c r="A39" s="4">
        <v>45919</v>
      </c>
      <c r="B39" s="5">
        <v>5650</v>
      </c>
      <c r="C39" s="5">
        <v>6100</v>
      </c>
      <c r="D39" s="5">
        <v>6100</v>
      </c>
      <c r="E39" s="5">
        <v>5350</v>
      </c>
      <c r="F39" s="5">
        <v>6000</v>
      </c>
      <c r="G39" s="5">
        <v>6000</v>
      </c>
      <c r="H39" s="5">
        <v>5700</v>
      </c>
      <c r="I39" s="5">
        <v>4200</v>
      </c>
      <c r="J39" s="5">
        <v>3700</v>
      </c>
      <c r="K39" s="5">
        <v>5760</v>
      </c>
      <c r="L39" s="5">
        <v>3762.5</v>
      </c>
      <c r="M39" s="5">
        <v>5200</v>
      </c>
      <c r="N39" s="5">
        <v>4700</v>
      </c>
      <c r="O39" s="5">
        <v>4400</v>
      </c>
    </row>
    <row r="40" spans="1:15" x14ac:dyDescent="0.3">
      <c r="A40" s="4">
        <v>45926</v>
      </c>
      <c r="B40" s="5">
        <v>5550</v>
      </c>
      <c r="C40" s="5">
        <v>6150</v>
      </c>
      <c r="D40" s="5">
        <v>6150</v>
      </c>
      <c r="E40" s="5">
        <v>5250</v>
      </c>
      <c r="F40" s="5">
        <v>6050</v>
      </c>
      <c r="G40" s="5">
        <v>6050</v>
      </c>
      <c r="H40" s="5">
        <v>5750</v>
      </c>
      <c r="I40" s="5">
        <v>4200</v>
      </c>
      <c r="J40" s="5">
        <v>3700</v>
      </c>
      <c r="K40" s="5">
        <v>5775</v>
      </c>
      <c r="L40" s="5">
        <v>3762.5</v>
      </c>
      <c r="M40" s="5">
        <v>5200</v>
      </c>
      <c r="N40" s="5">
        <v>4700</v>
      </c>
      <c r="O40" s="5">
        <v>4400</v>
      </c>
    </row>
    <row r="41" spans="1:15" x14ac:dyDescent="0.3">
      <c r="A41" s="4">
        <v>45933</v>
      </c>
      <c r="B41" s="5">
        <v>5550</v>
      </c>
      <c r="C41" s="5">
        <v>6200</v>
      </c>
      <c r="D41" s="5">
        <v>6200</v>
      </c>
      <c r="E41" s="5">
        <v>5250</v>
      </c>
      <c r="F41" s="5">
        <v>6100</v>
      </c>
      <c r="G41" s="5">
        <v>6100</v>
      </c>
      <c r="H41" s="5">
        <v>5500</v>
      </c>
      <c r="I41" s="5">
        <v>4500</v>
      </c>
      <c r="J41" s="5">
        <v>4000</v>
      </c>
      <c r="K41" s="5">
        <v>5795</v>
      </c>
      <c r="L41" s="5">
        <v>4125</v>
      </c>
      <c r="M41" s="5">
        <v>5400</v>
      </c>
      <c r="N41" s="5">
        <v>4900</v>
      </c>
      <c r="O41" s="5">
        <v>4400</v>
      </c>
    </row>
    <row r="42" spans="1:15" x14ac:dyDescent="0.3">
      <c r="A42" s="4">
        <v>45940</v>
      </c>
      <c r="B42" s="5">
        <v>5900</v>
      </c>
      <c r="C42" s="5">
        <v>6250</v>
      </c>
      <c r="D42" s="5">
        <v>6250</v>
      </c>
      <c r="E42" s="5">
        <v>5600</v>
      </c>
      <c r="F42" s="5">
        <v>6000</v>
      </c>
      <c r="G42" s="5">
        <v>6000</v>
      </c>
      <c r="H42" s="5">
        <v>5800</v>
      </c>
      <c r="I42" s="5">
        <v>4500</v>
      </c>
      <c r="J42" s="5">
        <v>4000</v>
      </c>
      <c r="K42" s="5">
        <v>5925</v>
      </c>
      <c r="L42" s="5">
        <v>4125</v>
      </c>
      <c r="M42" s="5">
        <v>5500</v>
      </c>
      <c r="N42" s="5">
        <v>4900</v>
      </c>
      <c r="O42" s="5">
        <v>4400</v>
      </c>
    </row>
    <row r="43" spans="1:15" x14ac:dyDescent="0.3">
      <c r="A43" s="4">
        <v>45947</v>
      </c>
      <c r="B43" s="5">
        <v>5950</v>
      </c>
      <c r="C43" s="5">
        <v>6300</v>
      </c>
      <c r="D43" s="5">
        <v>6300</v>
      </c>
      <c r="E43" s="5">
        <v>5600</v>
      </c>
      <c r="F43" s="5">
        <v>6100</v>
      </c>
      <c r="G43" s="5">
        <v>6100</v>
      </c>
      <c r="H43" s="5">
        <v>5900</v>
      </c>
      <c r="I43" s="5">
        <v>4500</v>
      </c>
      <c r="J43" s="5">
        <v>4000</v>
      </c>
      <c r="K43" s="5">
        <v>5965</v>
      </c>
      <c r="L43" s="5">
        <v>4125</v>
      </c>
      <c r="M43" s="5">
        <v>5500</v>
      </c>
      <c r="N43" s="5">
        <v>4900</v>
      </c>
      <c r="O43" s="5">
        <v>4400</v>
      </c>
    </row>
    <row r="44" spans="1:15" x14ac:dyDescent="0.3">
      <c r="A44" s="4">
        <v>45954</v>
      </c>
      <c r="B44" s="5">
        <v>5950</v>
      </c>
      <c r="C44" s="5">
        <v>6400</v>
      </c>
      <c r="D44" s="5">
        <v>6400</v>
      </c>
      <c r="E44" s="5">
        <v>5600</v>
      </c>
      <c r="F44" s="5">
        <v>6200</v>
      </c>
      <c r="G44" s="5">
        <v>6200</v>
      </c>
      <c r="H44" s="5">
        <v>6000</v>
      </c>
      <c r="I44" s="5">
        <v>4600</v>
      </c>
      <c r="J44" s="5">
        <v>4100</v>
      </c>
      <c r="K44" s="5">
        <v>6005</v>
      </c>
      <c r="L44" s="5">
        <v>4225</v>
      </c>
      <c r="M44" s="5">
        <v>5800</v>
      </c>
      <c r="N44" s="5">
        <v>5000</v>
      </c>
      <c r="O44" s="5">
        <v>4600</v>
      </c>
    </row>
    <row r="45" spans="1:15" x14ac:dyDescent="0.3">
      <c r="A45" s="4">
        <v>45961</v>
      </c>
      <c r="B45" s="5">
        <v>6150</v>
      </c>
      <c r="C45" s="5">
        <v>6500</v>
      </c>
      <c r="D45" s="5">
        <v>6500</v>
      </c>
      <c r="E45" s="5">
        <v>5800</v>
      </c>
      <c r="F45" s="5">
        <v>6300</v>
      </c>
      <c r="G45" s="5">
        <v>6300</v>
      </c>
      <c r="H45" s="5">
        <v>6100</v>
      </c>
      <c r="I45" s="5">
        <v>4600</v>
      </c>
      <c r="J45" s="5">
        <v>4300</v>
      </c>
      <c r="K45" s="5">
        <v>6167.5</v>
      </c>
      <c r="L45" s="5">
        <v>4287.5</v>
      </c>
      <c r="M45" s="5">
        <v>6000</v>
      </c>
      <c r="N45" s="5">
        <v>5200</v>
      </c>
      <c r="O45" s="5">
        <v>4900</v>
      </c>
    </row>
    <row r="46" spans="1:15" x14ac:dyDescent="0.3">
      <c r="A46" s="4">
        <v>45968</v>
      </c>
      <c r="B46" s="5">
        <v>6500</v>
      </c>
      <c r="C46" s="5">
        <v>6900</v>
      </c>
      <c r="D46" s="5">
        <v>6900</v>
      </c>
      <c r="E46" s="5">
        <v>6200</v>
      </c>
      <c r="F46" s="5">
        <v>6700</v>
      </c>
      <c r="G46" s="5">
        <v>6700</v>
      </c>
      <c r="H46" s="5">
        <v>6300</v>
      </c>
      <c r="I46" s="5">
        <v>4700</v>
      </c>
      <c r="J46" s="5">
        <v>4300</v>
      </c>
      <c r="K46" s="5">
        <v>6370</v>
      </c>
      <c r="L46" s="5">
        <v>4312.5</v>
      </c>
      <c r="M46" s="5">
        <v>6200</v>
      </c>
      <c r="N46" s="5">
        <v>5400</v>
      </c>
      <c r="O46" s="5">
        <v>5100</v>
      </c>
    </row>
    <row r="47" spans="1:15" x14ac:dyDescent="0.3">
      <c r="A47" s="4">
        <v>45975</v>
      </c>
      <c r="B47" s="5">
        <v>6800</v>
      </c>
      <c r="C47" s="5">
        <v>7200</v>
      </c>
      <c r="D47" s="5">
        <v>7200</v>
      </c>
      <c r="E47" s="5">
        <v>6500</v>
      </c>
      <c r="F47" s="5">
        <v>7000</v>
      </c>
      <c r="G47" s="5">
        <v>7000</v>
      </c>
      <c r="H47" s="5">
        <v>6500</v>
      </c>
      <c r="I47" s="5">
        <v>4700</v>
      </c>
      <c r="J47" s="5">
        <v>4300</v>
      </c>
      <c r="K47" s="5">
        <v>6810</v>
      </c>
      <c r="L47" s="5">
        <v>4312.5</v>
      </c>
      <c r="M47" s="5">
        <v>6300</v>
      </c>
      <c r="N47" s="5">
        <v>5600</v>
      </c>
      <c r="O47" s="5">
        <v>6300</v>
      </c>
    </row>
    <row r="48" spans="1:15" x14ac:dyDescent="0.3">
      <c r="A48" s="4">
        <v>45982</v>
      </c>
      <c r="B48" s="5">
        <v>7000</v>
      </c>
      <c r="C48" s="5">
        <v>7300</v>
      </c>
      <c r="D48" s="5">
        <v>7300</v>
      </c>
      <c r="E48" s="5">
        <v>6900</v>
      </c>
      <c r="F48" s="5">
        <v>7000</v>
      </c>
      <c r="G48" s="5">
        <v>7000</v>
      </c>
      <c r="H48" s="5">
        <v>6500</v>
      </c>
      <c r="I48" s="5">
        <v>5000</v>
      </c>
      <c r="J48" s="5">
        <v>4500</v>
      </c>
      <c r="K48" s="5">
        <v>7000</v>
      </c>
      <c r="L48" s="5">
        <v>4462.5</v>
      </c>
      <c r="M48" s="5">
        <v>6300</v>
      </c>
      <c r="N48" s="5">
        <v>5300</v>
      </c>
      <c r="O48" s="5">
        <v>4800</v>
      </c>
    </row>
    <row r="49" spans="1:15" x14ac:dyDescent="0.3">
      <c r="A49" s="4">
        <v>45989</v>
      </c>
      <c r="B49" s="5">
        <v>7400</v>
      </c>
      <c r="C49" s="5">
        <v>7600</v>
      </c>
      <c r="D49" s="5">
        <v>7600</v>
      </c>
      <c r="E49" s="5">
        <v>7000</v>
      </c>
      <c r="F49" s="5">
        <v>7300</v>
      </c>
      <c r="G49" s="5">
        <v>7300</v>
      </c>
      <c r="H49" s="5">
        <v>6800</v>
      </c>
      <c r="I49" s="5">
        <v>5500</v>
      </c>
      <c r="J49" s="5">
        <v>4900</v>
      </c>
      <c r="K49" s="5">
        <v>7280</v>
      </c>
      <c r="L49" s="5">
        <v>4937.5</v>
      </c>
      <c r="M49" s="5">
        <v>6400</v>
      </c>
      <c r="N49" s="5">
        <v>5600</v>
      </c>
      <c r="O49" s="5">
        <v>5300</v>
      </c>
    </row>
    <row r="50" spans="1:15" x14ac:dyDescent="0.3">
      <c r="A50" s="4">
        <v>45996</v>
      </c>
      <c r="B50" s="5">
        <v>7400</v>
      </c>
      <c r="C50" s="5">
        <v>7800</v>
      </c>
      <c r="D50" s="5">
        <v>7800</v>
      </c>
      <c r="E50" s="5">
        <v>7000</v>
      </c>
      <c r="F50" s="5">
        <v>7500</v>
      </c>
      <c r="G50" s="5">
        <v>7500</v>
      </c>
      <c r="H50" s="5">
        <v>7500</v>
      </c>
      <c r="I50" s="5">
        <v>6000</v>
      </c>
      <c r="J50" s="5">
        <v>5000</v>
      </c>
      <c r="K50" s="5">
        <v>7355</v>
      </c>
      <c r="L50" s="5">
        <v>5162.5</v>
      </c>
      <c r="M50" s="5">
        <v>6500</v>
      </c>
      <c r="N50" s="5">
        <v>5500</v>
      </c>
      <c r="O50" s="5">
        <v>5200</v>
      </c>
    </row>
    <row r="51" spans="1:15" x14ac:dyDescent="0.3">
      <c r="A51" s="4">
        <v>46003</v>
      </c>
      <c r="B51" s="5">
        <v>7400</v>
      </c>
      <c r="C51" s="5">
        <v>7900</v>
      </c>
      <c r="D51" s="5">
        <v>7900</v>
      </c>
      <c r="E51" s="5">
        <v>7200</v>
      </c>
      <c r="F51" s="5">
        <v>7600</v>
      </c>
      <c r="G51" s="5">
        <v>7600</v>
      </c>
      <c r="H51" s="5">
        <v>7200</v>
      </c>
      <c r="I51" s="5">
        <v>6000</v>
      </c>
      <c r="J51" s="5">
        <v>5000</v>
      </c>
      <c r="K51" s="5">
        <v>7450</v>
      </c>
      <c r="L51" s="5">
        <v>5162.5</v>
      </c>
      <c r="M51" s="5">
        <v>6500</v>
      </c>
      <c r="N51" s="5">
        <v>5500</v>
      </c>
      <c r="O51" s="5">
        <v>5200</v>
      </c>
    </row>
    <row r="52" spans="1:15" x14ac:dyDescent="0.3">
      <c r="A52" s="4">
        <v>46010</v>
      </c>
      <c r="B52" s="5">
        <v>7000</v>
      </c>
      <c r="C52" s="5">
        <v>7800</v>
      </c>
      <c r="D52" s="5">
        <v>7800</v>
      </c>
      <c r="E52" s="5">
        <v>6800</v>
      </c>
      <c r="F52" s="5">
        <v>7600</v>
      </c>
      <c r="G52" s="5">
        <v>7600</v>
      </c>
      <c r="H52" s="5">
        <v>7200</v>
      </c>
      <c r="I52" s="5">
        <v>6000</v>
      </c>
      <c r="J52" s="5">
        <v>5000</v>
      </c>
      <c r="K52" s="5">
        <v>7295</v>
      </c>
      <c r="L52" s="5">
        <v>5162.5</v>
      </c>
      <c r="M52" s="5">
        <v>6500</v>
      </c>
      <c r="N52" s="5">
        <v>5400</v>
      </c>
      <c r="O52" s="5">
        <v>5000</v>
      </c>
    </row>
    <row r="53" spans="1:15" x14ac:dyDescent="0.3">
      <c r="A53" s="4">
        <v>46017</v>
      </c>
      <c r="B53" s="5">
        <v>7000</v>
      </c>
      <c r="C53" s="5">
        <v>7800</v>
      </c>
      <c r="D53" s="5">
        <v>7800</v>
      </c>
      <c r="E53" s="5">
        <v>6800</v>
      </c>
      <c r="F53" s="5">
        <v>7600</v>
      </c>
      <c r="G53" s="5">
        <v>7600</v>
      </c>
      <c r="H53" s="5">
        <v>7200</v>
      </c>
      <c r="I53" s="5">
        <v>6000</v>
      </c>
      <c r="J53" s="5">
        <v>5000</v>
      </c>
      <c r="K53" s="5">
        <v>7295</v>
      </c>
      <c r="L53" s="5">
        <v>5162.5</v>
      </c>
      <c r="M53" s="5">
        <v>6500</v>
      </c>
      <c r="N53" s="5">
        <v>5400</v>
      </c>
      <c r="O53" s="5">
        <v>5000</v>
      </c>
    </row>
    <row r="54" spans="1:15" x14ac:dyDescent="0.3">
      <c r="A54" s="4">
        <v>46024</v>
      </c>
      <c r="B54" s="5">
        <v>7000</v>
      </c>
      <c r="C54" s="5">
        <v>7800</v>
      </c>
      <c r="D54" s="5">
        <v>7800</v>
      </c>
      <c r="E54" s="5">
        <v>6800</v>
      </c>
      <c r="F54" s="5">
        <v>7600</v>
      </c>
      <c r="G54" s="5">
        <v>7600</v>
      </c>
      <c r="H54" s="5">
        <v>7200</v>
      </c>
      <c r="I54" s="5">
        <v>6000</v>
      </c>
      <c r="J54" s="5">
        <v>5000</v>
      </c>
      <c r="K54" s="5">
        <v>7295</v>
      </c>
      <c r="L54" s="5">
        <v>5162.5</v>
      </c>
      <c r="M54" s="5">
        <v>6500</v>
      </c>
      <c r="N54" s="5">
        <v>5400</v>
      </c>
      <c r="O54" s="5">
        <v>5000</v>
      </c>
    </row>
    <row r="55" spans="1:15" x14ac:dyDescent="0.3">
      <c r="A55" s="4">
        <v>46031</v>
      </c>
      <c r="B55" s="5">
        <v>7000</v>
      </c>
      <c r="C55" s="5">
        <v>7800</v>
      </c>
      <c r="D55" s="5">
        <v>7800</v>
      </c>
      <c r="E55" s="5">
        <v>6800</v>
      </c>
      <c r="F55" s="5">
        <v>7600</v>
      </c>
      <c r="G55" s="5">
        <v>7600</v>
      </c>
      <c r="H55" s="5">
        <v>7200</v>
      </c>
      <c r="I55" s="5">
        <v>6000</v>
      </c>
      <c r="J55" s="5">
        <v>5000</v>
      </c>
      <c r="K55" s="5">
        <v>7305</v>
      </c>
      <c r="L55" s="5">
        <v>5162.5</v>
      </c>
      <c r="M55" s="5">
        <v>6500</v>
      </c>
      <c r="N55" s="5">
        <v>5500</v>
      </c>
      <c r="O55" s="5">
        <v>5200</v>
      </c>
    </row>
    <row r="56" spans="1:15" x14ac:dyDescent="0.3">
      <c r="A56" s="4">
        <v>46038</v>
      </c>
      <c r="B56" s="5">
        <v>7000</v>
      </c>
      <c r="C56" s="5">
        <v>7800</v>
      </c>
      <c r="D56" s="5">
        <v>7800</v>
      </c>
      <c r="E56" s="5">
        <v>6800</v>
      </c>
      <c r="F56" s="5">
        <v>7600</v>
      </c>
      <c r="G56" s="5">
        <v>7600</v>
      </c>
      <c r="H56" s="5">
        <v>7200</v>
      </c>
      <c r="I56" s="5">
        <v>5600</v>
      </c>
      <c r="J56" s="5">
        <v>4800</v>
      </c>
      <c r="K56" s="5">
        <v>7305</v>
      </c>
      <c r="L56" s="5">
        <v>4975</v>
      </c>
      <c r="M56" s="5">
        <v>6500</v>
      </c>
      <c r="N56" s="5">
        <v>5500</v>
      </c>
      <c r="O56" s="5">
        <v>5200</v>
      </c>
    </row>
    <row r="57" spans="1:15" x14ac:dyDescent="0.3">
      <c r="A57" s="4">
        <v>46045</v>
      </c>
      <c r="B57" s="5">
        <v>7000</v>
      </c>
      <c r="C57" s="5">
        <v>7900</v>
      </c>
      <c r="D57" s="5">
        <v>7900</v>
      </c>
      <c r="E57" s="5">
        <v>6800</v>
      </c>
      <c r="F57" s="5">
        <v>7700</v>
      </c>
      <c r="G57" s="5">
        <v>7700</v>
      </c>
      <c r="H57" s="5">
        <v>7300</v>
      </c>
      <c r="I57" s="5">
        <v>5600</v>
      </c>
      <c r="J57" s="5">
        <v>4800</v>
      </c>
      <c r="K57" s="5">
        <v>7375</v>
      </c>
      <c r="L57" s="5">
        <v>4975</v>
      </c>
      <c r="M57" s="5">
        <v>6700</v>
      </c>
      <c r="N57" s="5">
        <v>5500</v>
      </c>
      <c r="O57" s="5">
        <v>5200</v>
      </c>
    </row>
    <row r="58" spans="1:15" x14ac:dyDescent="0.3">
      <c r="A58" s="4">
        <v>46052</v>
      </c>
      <c r="B58" s="5">
        <v>7400</v>
      </c>
      <c r="C58" s="5">
        <v>8150</v>
      </c>
      <c r="D58" s="5">
        <v>8150</v>
      </c>
      <c r="E58" s="5">
        <v>7200</v>
      </c>
      <c r="F58" s="5">
        <v>8000</v>
      </c>
      <c r="G58" s="5">
        <v>8000</v>
      </c>
      <c r="H58" s="5">
        <v>7600</v>
      </c>
      <c r="I58" s="5">
        <v>5600</v>
      </c>
      <c r="J58" s="5">
        <v>4800</v>
      </c>
      <c r="K58" s="5">
        <v>7650</v>
      </c>
      <c r="L58" s="5">
        <v>4975</v>
      </c>
      <c r="M58" s="5">
        <v>6700</v>
      </c>
      <c r="N58" s="5">
        <v>5600</v>
      </c>
      <c r="O58" s="5">
        <v>5300</v>
      </c>
    </row>
    <row r="59" spans="1:15" x14ac:dyDescent="0.3">
      <c r="A59" s="4">
        <v>46059</v>
      </c>
      <c r="B59" s="5">
        <v>7300</v>
      </c>
      <c r="C59" s="5">
        <v>8250</v>
      </c>
      <c r="D59" s="5">
        <v>8250</v>
      </c>
      <c r="E59" s="5">
        <v>7000</v>
      </c>
      <c r="F59" s="5">
        <v>8100</v>
      </c>
      <c r="G59" s="5">
        <v>8100</v>
      </c>
      <c r="H59" s="5">
        <v>7700</v>
      </c>
      <c r="I59" s="5">
        <v>5800</v>
      </c>
      <c r="J59" s="5">
        <v>5000</v>
      </c>
      <c r="K59" s="5">
        <v>7615</v>
      </c>
      <c r="L59" s="5">
        <v>5175</v>
      </c>
      <c r="M59" s="5">
        <v>6800</v>
      </c>
      <c r="N59" s="5">
        <v>5600</v>
      </c>
      <c r="O59" s="5">
        <v>5300</v>
      </c>
    </row>
    <row r="60" spans="1:15" x14ac:dyDescent="0.3">
      <c r="A60" s="4">
        <v>46066</v>
      </c>
      <c r="B60" s="5">
        <v>7800</v>
      </c>
      <c r="C60" s="5">
        <v>8350</v>
      </c>
      <c r="D60" s="5">
        <v>8350</v>
      </c>
      <c r="E60" s="5">
        <v>7100</v>
      </c>
      <c r="F60" s="5">
        <v>8200</v>
      </c>
      <c r="G60" s="5">
        <v>8200</v>
      </c>
      <c r="H60" s="5">
        <v>7800</v>
      </c>
      <c r="I60" s="5">
        <v>6100</v>
      </c>
      <c r="J60" s="5">
        <v>5500</v>
      </c>
      <c r="K60" s="5">
        <v>7850</v>
      </c>
      <c r="L60" s="5">
        <v>5600</v>
      </c>
      <c r="M60" s="5">
        <v>6300</v>
      </c>
      <c r="N60" s="5">
        <v>5600</v>
      </c>
      <c r="O60" s="5">
        <v>5300</v>
      </c>
    </row>
    <row r="61" spans="1:15" x14ac:dyDescent="0.3">
      <c r="A61" s="4">
        <v>46073</v>
      </c>
      <c r="B61" s="5">
        <v>8000</v>
      </c>
      <c r="C61" s="5">
        <v>8300</v>
      </c>
      <c r="D61" s="5">
        <v>8300</v>
      </c>
      <c r="E61" s="5">
        <v>8000</v>
      </c>
      <c r="F61" s="5">
        <v>8100</v>
      </c>
      <c r="G61" s="5">
        <v>8100</v>
      </c>
      <c r="H61" s="5">
        <v>7800</v>
      </c>
      <c r="I61" s="5">
        <v>6100</v>
      </c>
      <c r="J61" s="5">
        <v>5800</v>
      </c>
      <c r="K61" s="5">
        <v>8155</v>
      </c>
      <c r="L61" s="5">
        <v>5900</v>
      </c>
      <c r="M61" s="5">
        <v>6800</v>
      </c>
      <c r="N61" s="5">
        <v>5600</v>
      </c>
      <c r="O61" s="5">
        <v>5400</v>
      </c>
    </row>
    <row r="62" spans="1:15" x14ac:dyDescent="0.3">
      <c r="A62" s="4">
        <v>46080</v>
      </c>
      <c r="B62" s="5">
        <v>8000</v>
      </c>
      <c r="C62" s="5">
        <v>8400</v>
      </c>
      <c r="D62" s="5">
        <v>8400</v>
      </c>
      <c r="E62" s="5">
        <v>8000</v>
      </c>
      <c r="F62" s="5">
        <v>8300</v>
      </c>
      <c r="G62" s="5">
        <v>8300</v>
      </c>
      <c r="H62" s="5">
        <v>8000</v>
      </c>
      <c r="I62" s="5">
        <v>6200</v>
      </c>
      <c r="J62" s="5">
        <v>5500</v>
      </c>
      <c r="K62" s="5">
        <v>8215</v>
      </c>
      <c r="L62" s="5">
        <v>6050</v>
      </c>
      <c r="M62" s="5">
        <v>6800</v>
      </c>
      <c r="N62" s="5">
        <v>5600</v>
      </c>
      <c r="O62" s="5">
        <v>5400</v>
      </c>
    </row>
    <row r="63" spans="1:15" x14ac:dyDescent="0.3">
      <c r="A63" s="4">
        <v>46087</v>
      </c>
      <c r="B63" s="5">
        <v>8100</v>
      </c>
      <c r="C63" s="5">
        <v>8400</v>
      </c>
      <c r="D63" s="5">
        <v>8400</v>
      </c>
      <c r="E63" s="5">
        <v>8100</v>
      </c>
      <c r="F63" s="5">
        <v>8200</v>
      </c>
      <c r="G63" s="5">
        <v>8200</v>
      </c>
      <c r="H63" s="5">
        <v>8000</v>
      </c>
      <c r="I63" s="5">
        <v>6600</v>
      </c>
      <c r="J63" s="5">
        <v>6000</v>
      </c>
      <c r="K63" s="5">
        <v>8240</v>
      </c>
      <c r="L63" s="5">
        <v>6050</v>
      </c>
      <c r="M63" s="5">
        <v>6800</v>
      </c>
      <c r="N63" s="5">
        <v>6000</v>
      </c>
      <c r="O63" s="5">
        <v>5800</v>
      </c>
    </row>
    <row r="64" spans="1:15" x14ac:dyDescent="0.3">
      <c r="A64" s="4">
        <v>46094</v>
      </c>
      <c r="B64" s="5">
        <v>8100</v>
      </c>
      <c r="C64" s="5">
        <v>8400</v>
      </c>
      <c r="D64" s="5">
        <v>8400</v>
      </c>
      <c r="E64" s="5">
        <v>8100</v>
      </c>
      <c r="F64" s="5">
        <v>8200</v>
      </c>
      <c r="G64" s="5">
        <v>8200</v>
      </c>
      <c r="H64" s="5">
        <v>8000</v>
      </c>
      <c r="I64" s="5">
        <v>6800</v>
      </c>
      <c r="J64" s="5">
        <v>6000</v>
      </c>
      <c r="K64" s="5">
        <v>8240</v>
      </c>
      <c r="L64" s="5">
        <v>6050</v>
      </c>
      <c r="M64" s="5">
        <v>6800</v>
      </c>
      <c r="N64" s="5">
        <v>5800</v>
      </c>
      <c r="O64" s="5">
        <v>5500</v>
      </c>
    </row>
    <row r="65" spans="1:15" x14ac:dyDescent="0.3">
      <c r="A65" s="4">
        <v>46101</v>
      </c>
      <c r="B65" s="5">
        <v>8200</v>
      </c>
      <c r="C65" s="5">
        <v>8200</v>
      </c>
      <c r="D65" s="5">
        <v>8200</v>
      </c>
      <c r="E65" s="5">
        <v>8100</v>
      </c>
      <c r="F65" s="5">
        <v>8000</v>
      </c>
      <c r="G65" s="5">
        <v>8000</v>
      </c>
      <c r="H65" s="5">
        <v>7800</v>
      </c>
      <c r="I65" s="5">
        <v>6800</v>
      </c>
      <c r="J65" s="5">
        <v>6000</v>
      </c>
      <c r="K65" s="5">
        <v>8170</v>
      </c>
      <c r="L65" s="5">
        <v>6150</v>
      </c>
      <c r="M65" s="5">
        <v>6800</v>
      </c>
      <c r="N65" s="5">
        <v>5800</v>
      </c>
      <c r="O65" s="5">
        <v>5800</v>
      </c>
    </row>
    <row r="66" spans="1:15" x14ac:dyDescent="0.3">
      <c r="A66" s="4">
        <v>46108</v>
      </c>
      <c r="B66" s="7">
        <v>8200</v>
      </c>
      <c r="C66" s="5">
        <v>8200</v>
      </c>
      <c r="D66" s="5">
        <v>8200</v>
      </c>
      <c r="E66" s="5">
        <v>8100</v>
      </c>
      <c r="F66" s="5">
        <v>8000</v>
      </c>
      <c r="G66" s="5">
        <v>8000</v>
      </c>
      <c r="H66" s="5">
        <v>7800</v>
      </c>
      <c r="I66" s="5">
        <v>6800</v>
      </c>
      <c r="J66" s="5">
        <v>6000</v>
      </c>
      <c r="K66" s="5">
        <v>8170</v>
      </c>
      <c r="L66" s="5">
        <v>6150</v>
      </c>
      <c r="M66" s="5">
        <v>6800</v>
      </c>
      <c r="N66" s="5">
        <v>5800</v>
      </c>
      <c r="O66" s="5">
        <v>5800</v>
      </c>
    </row>
    <row r="67" spans="1:15" x14ac:dyDescent="0.3">
      <c r="A67" s="4">
        <v>46115</v>
      </c>
      <c r="B67" s="7">
        <v>8200</v>
      </c>
      <c r="C67" s="5">
        <v>8100</v>
      </c>
      <c r="D67" s="5">
        <v>8100</v>
      </c>
      <c r="E67" s="5">
        <v>8100</v>
      </c>
      <c r="F67" s="5">
        <v>7900</v>
      </c>
      <c r="G67" s="5">
        <v>7900</v>
      </c>
      <c r="H67" s="5">
        <v>7700</v>
      </c>
      <c r="I67" s="5">
        <v>6800</v>
      </c>
      <c r="J67" s="5">
        <v>6000</v>
      </c>
      <c r="K67" s="5">
        <v>8170</v>
      </c>
      <c r="L67" s="5">
        <v>6150</v>
      </c>
      <c r="M67" s="5">
        <v>6800</v>
      </c>
      <c r="N67" s="5">
        <v>5800</v>
      </c>
      <c r="O67" s="5">
        <v>5600</v>
      </c>
    </row>
    <row r="68" spans="1:15" x14ac:dyDescent="0.3">
      <c r="A68" s="4">
        <v>46122</v>
      </c>
      <c r="B68" s="7">
        <v>8200</v>
      </c>
      <c r="C68" s="5">
        <v>8200</v>
      </c>
      <c r="D68" s="5">
        <v>8200</v>
      </c>
      <c r="E68" s="5">
        <v>8100</v>
      </c>
      <c r="F68" s="5">
        <v>8000</v>
      </c>
      <c r="G68" s="5">
        <v>8000</v>
      </c>
      <c r="H68" s="5">
        <v>7700</v>
      </c>
      <c r="I68" s="5">
        <v>6600</v>
      </c>
      <c r="J68" s="5">
        <v>6200</v>
      </c>
      <c r="K68" s="5">
        <v>8190</v>
      </c>
      <c r="L68" s="5">
        <v>6175</v>
      </c>
      <c r="M68" s="5">
        <v>6800</v>
      </c>
      <c r="N68" s="5">
        <v>6000</v>
      </c>
      <c r="O68" s="5">
        <v>5800</v>
      </c>
    </row>
    <row r="69" spans="1:15" x14ac:dyDescent="0.3">
      <c r="A69" s="4">
        <v>46129</v>
      </c>
      <c r="B69" s="11">
        <v>8400</v>
      </c>
      <c r="C69" s="12">
        <v>8200</v>
      </c>
      <c r="D69" s="12">
        <v>8200</v>
      </c>
      <c r="E69" s="12">
        <v>8300</v>
      </c>
      <c r="F69" s="12">
        <v>8000</v>
      </c>
      <c r="G69" s="12">
        <v>8000</v>
      </c>
      <c r="H69" s="12">
        <v>7700</v>
      </c>
      <c r="I69" s="12">
        <v>6600</v>
      </c>
      <c r="J69" s="12">
        <v>6200</v>
      </c>
      <c r="K69" s="12">
        <v>8190</v>
      </c>
      <c r="L69" s="12">
        <v>6175</v>
      </c>
      <c r="M69" s="12">
        <v>6800</v>
      </c>
      <c r="N69" s="12">
        <v>5800</v>
      </c>
      <c r="O69" s="12">
        <v>5600</v>
      </c>
    </row>
    <row r="70" spans="1:15" x14ac:dyDescent="0.3">
      <c r="A70" s="4">
        <v>46136</v>
      </c>
      <c r="B70" s="11">
        <v>8300</v>
      </c>
      <c r="C70" s="12">
        <v>8200</v>
      </c>
      <c r="D70" s="12">
        <v>8200</v>
      </c>
      <c r="E70" s="12">
        <v>8200</v>
      </c>
      <c r="F70" s="12">
        <v>8000</v>
      </c>
      <c r="G70" s="12">
        <v>8000</v>
      </c>
      <c r="H70" s="12">
        <v>7700</v>
      </c>
      <c r="I70" s="12">
        <v>6600</v>
      </c>
      <c r="J70" s="12">
        <v>6200</v>
      </c>
      <c r="K70" s="12">
        <v>8095</v>
      </c>
      <c r="L70" s="12">
        <v>6175</v>
      </c>
      <c r="M70" s="12">
        <v>6900</v>
      </c>
      <c r="N70" s="12">
        <v>5600</v>
      </c>
      <c r="O70" s="12">
        <v>5300</v>
      </c>
    </row>
    <row r="71" spans="1:15" x14ac:dyDescent="0.3">
      <c r="A71" s="4">
        <v>46143</v>
      </c>
      <c r="B71" s="11">
        <v>8300</v>
      </c>
      <c r="C71" s="12">
        <v>8200</v>
      </c>
      <c r="D71" s="12">
        <v>8200</v>
      </c>
      <c r="E71" s="12">
        <v>8200</v>
      </c>
      <c r="F71" s="12">
        <v>8000</v>
      </c>
      <c r="G71" s="12">
        <v>8000</v>
      </c>
      <c r="H71" s="12">
        <v>7700</v>
      </c>
      <c r="I71" s="12">
        <v>6600</v>
      </c>
      <c r="J71" s="12">
        <v>6200</v>
      </c>
      <c r="K71" s="12">
        <v>8220</v>
      </c>
      <c r="L71" s="12">
        <v>6175</v>
      </c>
      <c r="M71" s="12">
        <v>6900</v>
      </c>
      <c r="N71" s="12">
        <v>5600</v>
      </c>
      <c r="O71" s="12">
        <v>5300</v>
      </c>
    </row>
    <row r="72" spans="1:15" x14ac:dyDescent="0.3">
      <c r="A72" s="4">
        <v>46150</v>
      </c>
      <c r="B72" s="11">
        <v>8150</v>
      </c>
      <c r="C72" s="12">
        <v>8200</v>
      </c>
      <c r="D72" s="12">
        <v>8200</v>
      </c>
      <c r="E72" s="12">
        <v>8050</v>
      </c>
      <c r="F72" s="12">
        <v>8000</v>
      </c>
      <c r="G72" s="12">
        <v>8000</v>
      </c>
      <c r="H72" s="12">
        <v>7700</v>
      </c>
      <c r="I72" s="12">
        <v>6600</v>
      </c>
      <c r="J72" s="12">
        <v>6200</v>
      </c>
      <c r="K72" s="12">
        <v>8185</v>
      </c>
      <c r="L72" s="12">
        <v>6175</v>
      </c>
      <c r="M72" s="12">
        <v>7000</v>
      </c>
      <c r="N72" s="12">
        <v>5600</v>
      </c>
      <c r="O72" s="12">
        <v>5300</v>
      </c>
    </row>
    <row r="73" spans="1:15" x14ac:dyDescent="0.3">
      <c r="A73" s="4">
        <v>46157</v>
      </c>
      <c r="B73" s="11">
        <v>8050</v>
      </c>
      <c r="C73" s="12">
        <v>8200</v>
      </c>
      <c r="D73" s="12">
        <v>8200</v>
      </c>
      <c r="E73" s="12">
        <v>7950</v>
      </c>
      <c r="F73" s="12">
        <v>8000</v>
      </c>
      <c r="G73" s="12">
        <v>8000</v>
      </c>
      <c r="H73" s="12">
        <v>7700</v>
      </c>
      <c r="I73" s="12">
        <v>6600</v>
      </c>
      <c r="J73" s="12">
        <v>6200</v>
      </c>
      <c r="K73" s="12">
        <v>8125</v>
      </c>
      <c r="L73" s="12">
        <v>6175</v>
      </c>
      <c r="M73" s="12">
        <v>7000</v>
      </c>
      <c r="N73" s="12">
        <v>5600</v>
      </c>
      <c r="O73" s="12">
        <v>5300</v>
      </c>
    </row>
    <row r="74" spans="1:15" x14ac:dyDescent="0.3">
      <c r="A74" s="4">
        <v>46164</v>
      </c>
      <c r="B74" s="11">
        <v>8000</v>
      </c>
      <c r="C74" s="12">
        <v>8100</v>
      </c>
      <c r="D74" s="12">
        <v>8100</v>
      </c>
      <c r="E74" s="12">
        <v>7900</v>
      </c>
      <c r="F74" s="12">
        <v>7900</v>
      </c>
      <c r="G74" s="12">
        <v>7900</v>
      </c>
      <c r="H74" s="12">
        <v>7600</v>
      </c>
      <c r="I74" s="12">
        <v>6600</v>
      </c>
      <c r="J74" s="12">
        <v>6200</v>
      </c>
      <c r="K74" s="12">
        <v>8100</v>
      </c>
      <c r="L74" s="12">
        <v>6175</v>
      </c>
      <c r="M74" s="12">
        <v>6700</v>
      </c>
      <c r="N74" s="12">
        <v>5500</v>
      </c>
      <c r="O74" s="12">
        <v>5200</v>
      </c>
    </row>
    <row r="75" spans="1:15" x14ac:dyDescent="0.3">
      <c r="A75" s="2">
        <v>46171</v>
      </c>
      <c r="B75" s="11">
        <v>8000</v>
      </c>
      <c r="C75" s="12">
        <v>8100</v>
      </c>
      <c r="D75" s="12">
        <v>8100</v>
      </c>
      <c r="E75" s="12">
        <v>7900</v>
      </c>
      <c r="F75" s="12">
        <v>7900</v>
      </c>
      <c r="G75" s="12">
        <v>7900</v>
      </c>
      <c r="H75" s="12">
        <v>7600</v>
      </c>
      <c r="I75" s="12">
        <v>6600</v>
      </c>
      <c r="J75" s="12">
        <v>6200</v>
      </c>
      <c r="K75" s="12">
        <v>8090</v>
      </c>
      <c r="L75" s="12">
        <v>6175</v>
      </c>
      <c r="M75" s="12">
        <v>6700</v>
      </c>
      <c r="N75" s="12">
        <v>5500</v>
      </c>
      <c r="O75" s="12">
        <v>5200</v>
      </c>
    </row>
    <row r="76" spans="1:15" x14ac:dyDescent="0.3">
      <c r="A76" s="2">
        <v>46178</v>
      </c>
      <c r="B76" s="11">
        <v>7900</v>
      </c>
      <c r="C76" s="12">
        <v>8100</v>
      </c>
      <c r="D76" s="12">
        <v>8100</v>
      </c>
      <c r="E76" s="12">
        <v>7600</v>
      </c>
      <c r="F76" s="12">
        <v>7900</v>
      </c>
      <c r="G76" s="12">
        <v>7900</v>
      </c>
      <c r="H76" s="12">
        <v>7600</v>
      </c>
      <c r="I76" s="12">
        <v>6600</v>
      </c>
      <c r="J76" s="12">
        <v>6200</v>
      </c>
      <c r="K76" s="12">
        <v>7910</v>
      </c>
      <c r="L76" s="12">
        <v>6175</v>
      </c>
      <c r="M76" s="12">
        <v>6700</v>
      </c>
      <c r="N76" s="12">
        <v>5400</v>
      </c>
      <c r="O76" s="12">
        <v>5100</v>
      </c>
    </row>
    <row r="77" spans="1:15" x14ac:dyDescent="0.3">
      <c r="A77" s="2">
        <v>46185</v>
      </c>
      <c r="B77" s="11">
        <v>8100</v>
      </c>
      <c r="C77" s="12">
        <v>8000</v>
      </c>
      <c r="D77" s="12">
        <v>8000</v>
      </c>
      <c r="E77" s="12">
        <v>7800</v>
      </c>
      <c r="F77" s="12">
        <v>7800</v>
      </c>
      <c r="G77" s="12">
        <v>7800</v>
      </c>
      <c r="H77" s="12">
        <v>7300</v>
      </c>
      <c r="I77" s="12">
        <v>6600</v>
      </c>
      <c r="J77" s="12">
        <v>6200</v>
      </c>
      <c r="K77" s="12">
        <v>8000</v>
      </c>
      <c r="L77" s="12">
        <v>6175</v>
      </c>
      <c r="M77" s="12">
        <v>6500</v>
      </c>
      <c r="N77" s="12">
        <v>5600</v>
      </c>
      <c r="O77" s="12">
        <v>5300</v>
      </c>
    </row>
    <row r="78" spans="1:15" x14ac:dyDescent="0.3">
      <c r="A78" s="2">
        <v>46192</v>
      </c>
      <c r="B78" s="11">
        <v>7900</v>
      </c>
      <c r="C78" s="12">
        <v>8000</v>
      </c>
      <c r="D78" s="12">
        <v>8000</v>
      </c>
      <c r="E78" s="12">
        <v>7600</v>
      </c>
      <c r="F78" s="12">
        <v>7800</v>
      </c>
      <c r="G78" s="12">
        <v>7800</v>
      </c>
      <c r="H78" s="12">
        <v>7300</v>
      </c>
      <c r="I78" s="12">
        <v>6600</v>
      </c>
      <c r="J78" s="12">
        <v>6200</v>
      </c>
      <c r="K78" s="12">
        <v>7850</v>
      </c>
      <c r="L78" s="12">
        <v>6162.5</v>
      </c>
      <c r="M78" s="12">
        <v>6400</v>
      </c>
      <c r="N78" s="12">
        <v>5600</v>
      </c>
      <c r="O78" s="12">
        <v>5200</v>
      </c>
    </row>
    <row r="79" spans="1:15" x14ac:dyDescent="0.3">
      <c r="A79" s="2">
        <v>46199</v>
      </c>
      <c r="B79" s="11">
        <v>7900</v>
      </c>
      <c r="C79" s="12">
        <v>8000</v>
      </c>
      <c r="D79" s="12">
        <v>8000</v>
      </c>
      <c r="E79" s="12">
        <v>7600</v>
      </c>
      <c r="F79" s="12">
        <v>7800</v>
      </c>
      <c r="G79" s="12">
        <v>7800</v>
      </c>
      <c r="H79" s="12">
        <v>7300</v>
      </c>
      <c r="I79" s="12">
        <v>6600</v>
      </c>
      <c r="J79" s="12">
        <v>6200</v>
      </c>
      <c r="K79" s="12">
        <v>7880</v>
      </c>
      <c r="L79" s="12">
        <v>6162.5</v>
      </c>
      <c r="M79" s="12">
        <v>6400</v>
      </c>
      <c r="N79" s="12">
        <v>5600</v>
      </c>
      <c r="O79" s="12">
        <v>5200</v>
      </c>
    </row>
    <row r="80" spans="1:15" x14ac:dyDescent="0.3">
      <c r="A80" s="2">
        <v>46206</v>
      </c>
      <c r="B80" s="11">
        <v>7900</v>
      </c>
      <c r="C80" s="12">
        <v>8000</v>
      </c>
      <c r="D80" s="12">
        <v>8000</v>
      </c>
      <c r="E80" s="12">
        <v>7500</v>
      </c>
      <c r="F80" s="12">
        <v>7700</v>
      </c>
      <c r="G80" s="12">
        <v>7700</v>
      </c>
      <c r="H80" s="12">
        <v>7300</v>
      </c>
      <c r="I80" s="12">
        <v>6600</v>
      </c>
      <c r="J80" s="12">
        <v>6200</v>
      </c>
      <c r="K80" s="12">
        <v>7860</v>
      </c>
      <c r="L80" s="12">
        <v>6162.5</v>
      </c>
      <c r="M80" s="12">
        <v>6500</v>
      </c>
      <c r="N80" s="12">
        <v>5500</v>
      </c>
      <c r="O80" s="12">
        <v>5100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D154-1CA2-410C-BEF4-E9F89CCA1A15}">
  <dimension ref="A1:P81"/>
  <sheetViews>
    <sheetView tabSelected="1" topLeftCell="A34" zoomScale="93" zoomScaleNormal="93" workbookViewId="0">
      <pane xSplit="1" topLeftCell="B1" activePane="topRight" state="frozen"/>
      <selection pane="topRight" activeCell="H45" sqref="H45"/>
    </sheetView>
  </sheetViews>
  <sheetFormatPr baseColWidth="10" defaultRowHeight="14.4" x14ac:dyDescent="0.3"/>
  <cols>
    <col min="1" max="1" width="12.33203125" customWidth="1"/>
    <col min="2" max="2" width="25.88671875" customWidth="1"/>
    <col min="3" max="3" width="25.33203125" customWidth="1"/>
    <col min="4" max="5" width="20.77734375" customWidth="1"/>
    <col min="6" max="6" width="18.21875" customWidth="1"/>
    <col min="7" max="7" width="16.44140625" customWidth="1"/>
    <col min="8" max="8" width="16.33203125" customWidth="1"/>
    <col min="9" max="9" width="14.44140625" bestFit="1" customWidth="1"/>
    <col min="11" max="11" width="10.5546875" customWidth="1"/>
    <col min="12" max="12" width="17.88671875" customWidth="1"/>
    <col min="13" max="13" width="14.6640625" customWidth="1"/>
    <col min="14" max="14" width="16.5546875" customWidth="1"/>
    <col min="15" max="15" width="15.33203125" customWidth="1"/>
    <col min="16" max="16" width="16.21875" customWidth="1"/>
  </cols>
  <sheetData>
    <row r="1" spans="1:16" x14ac:dyDescent="0.3">
      <c r="E1" s="17" t="s">
        <v>24</v>
      </c>
      <c r="F1" s="17"/>
      <c r="G1" s="17"/>
      <c r="H1" s="17"/>
      <c r="I1" s="17"/>
      <c r="L1" s="18" t="s">
        <v>25</v>
      </c>
      <c r="M1" s="18"/>
      <c r="N1" s="18"/>
      <c r="O1" s="18"/>
      <c r="P1" s="18"/>
    </row>
    <row r="2" spans="1:16" x14ac:dyDescent="0.3">
      <c r="A2" s="4"/>
      <c r="B2" t="s">
        <v>31</v>
      </c>
      <c r="C2" t="s">
        <v>7</v>
      </c>
      <c r="D2" t="s">
        <v>10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K2" t="s">
        <v>23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">
      <c r="A3" s="4">
        <v>45660</v>
      </c>
      <c r="B3">
        <v>2590.0500000000002</v>
      </c>
      <c r="C3">
        <v>2408.62</v>
      </c>
      <c r="D3" s="6">
        <v>540000</v>
      </c>
      <c r="E3">
        <v>2451.04</v>
      </c>
      <c r="F3">
        <v>2330.61</v>
      </c>
      <c r="G3">
        <v>2429.0700000000002</v>
      </c>
      <c r="H3">
        <v>2326.08</v>
      </c>
      <c r="I3">
        <v>2161.09</v>
      </c>
    </row>
    <row r="4" spans="1:16" x14ac:dyDescent="0.3">
      <c r="A4" s="4">
        <v>45667</v>
      </c>
      <c r="B4">
        <v>2460.16</v>
      </c>
      <c r="C4">
        <v>2364.23</v>
      </c>
      <c r="D4" s="6">
        <v>550000</v>
      </c>
      <c r="E4">
        <v>2381.87</v>
      </c>
      <c r="F4">
        <v>2313.54</v>
      </c>
      <c r="G4">
        <v>2293.2399999999998</v>
      </c>
      <c r="H4">
        <v>2271.7399999999998</v>
      </c>
      <c r="I4">
        <v>2127.39</v>
      </c>
    </row>
    <row r="5" spans="1:16" x14ac:dyDescent="0.3">
      <c r="A5" s="4">
        <v>45674</v>
      </c>
      <c r="B5">
        <v>2528.5100000000002</v>
      </c>
      <c r="C5">
        <v>2453.06</v>
      </c>
      <c r="D5" s="6">
        <v>520000</v>
      </c>
      <c r="E5">
        <v>2356.4699999999998</v>
      </c>
      <c r="F5">
        <v>2310.0100000000002</v>
      </c>
      <c r="G5">
        <v>2359.34</v>
      </c>
      <c r="H5">
        <v>2283.59</v>
      </c>
      <c r="I5">
        <v>2168.9699999999998</v>
      </c>
    </row>
    <row r="6" spans="1:16" x14ac:dyDescent="0.3">
      <c r="A6" s="4">
        <v>45681</v>
      </c>
      <c r="B6">
        <v>2638.72</v>
      </c>
      <c r="C6">
        <v>2558.96</v>
      </c>
      <c r="D6" s="6">
        <v>480000</v>
      </c>
      <c r="E6">
        <v>2501.39</v>
      </c>
      <c r="F6">
        <v>2429.52</v>
      </c>
      <c r="G6">
        <v>2338.2399999999998</v>
      </c>
      <c r="H6">
        <v>2433.04</v>
      </c>
      <c r="I6">
        <v>2262.66</v>
      </c>
    </row>
    <row r="7" spans="1:16" x14ac:dyDescent="0.3">
      <c r="A7" s="4">
        <v>45688</v>
      </c>
      <c r="B7">
        <v>2724.02</v>
      </c>
      <c r="C7">
        <v>2652.26</v>
      </c>
      <c r="D7" s="6">
        <v>500000</v>
      </c>
      <c r="E7">
        <v>2584.7800000000002</v>
      </c>
      <c r="F7">
        <v>2512.81</v>
      </c>
      <c r="G7">
        <v>2527.89</v>
      </c>
      <c r="H7">
        <v>2557.27</v>
      </c>
      <c r="I7">
        <v>2333.19</v>
      </c>
    </row>
    <row r="8" spans="1:16" x14ac:dyDescent="0.3">
      <c r="A8" s="4">
        <v>45695</v>
      </c>
      <c r="B8">
        <v>2880.61</v>
      </c>
      <c r="C8">
        <v>2788.75</v>
      </c>
      <c r="D8" s="6">
        <v>550000</v>
      </c>
      <c r="E8">
        <v>2738.8</v>
      </c>
      <c r="F8">
        <v>2646.6</v>
      </c>
      <c r="G8">
        <v>2669.71</v>
      </c>
      <c r="H8">
        <v>2595.5100000000002</v>
      </c>
      <c r="I8">
        <v>2454.9699999999998</v>
      </c>
    </row>
    <row r="9" spans="1:16" x14ac:dyDescent="0.3">
      <c r="A9" s="4">
        <v>45702</v>
      </c>
      <c r="D9" s="6">
        <v>500000</v>
      </c>
    </row>
    <row r="10" spans="1:16" x14ac:dyDescent="0.3">
      <c r="A10" s="4">
        <v>45709</v>
      </c>
      <c r="D10" s="6">
        <v>500000</v>
      </c>
    </row>
    <row r="11" spans="1:16" x14ac:dyDescent="0.3">
      <c r="A11" s="4">
        <v>45716</v>
      </c>
      <c r="D11" s="6">
        <v>520000</v>
      </c>
    </row>
    <row r="12" spans="1:16" x14ac:dyDescent="0.3">
      <c r="A12" s="4">
        <v>45723</v>
      </c>
      <c r="D12" s="6">
        <v>520000</v>
      </c>
    </row>
    <row r="13" spans="1:16" x14ac:dyDescent="0.3">
      <c r="A13" s="4">
        <v>45730</v>
      </c>
      <c r="D13" s="6">
        <v>580000</v>
      </c>
    </row>
    <row r="14" spans="1:16" x14ac:dyDescent="0.3">
      <c r="A14" s="4">
        <v>45737</v>
      </c>
      <c r="D14" s="6">
        <v>520000</v>
      </c>
    </row>
    <row r="15" spans="1:16" x14ac:dyDescent="0.3">
      <c r="A15" s="4">
        <v>45744</v>
      </c>
      <c r="D15" s="6">
        <v>550000</v>
      </c>
    </row>
    <row r="16" spans="1:16" x14ac:dyDescent="0.3">
      <c r="A16" s="4">
        <v>45751</v>
      </c>
      <c r="D16" s="6">
        <v>600000</v>
      </c>
    </row>
    <row r="17" spans="1:4" x14ac:dyDescent="0.3">
      <c r="A17" s="4">
        <v>45758</v>
      </c>
      <c r="D17" s="6">
        <v>580000</v>
      </c>
    </row>
    <row r="18" spans="1:4" x14ac:dyDescent="0.3">
      <c r="A18" s="4">
        <v>45765</v>
      </c>
      <c r="D18" s="6">
        <v>580000</v>
      </c>
    </row>
    <row r="19" spans="1:4" x14ac:dyDescent="0.3">
      <c r="A19" s="4">
        <v>45772</v>
      </c>
      <c r="D19" s="6">
        <v>580000</v>
      </c>
    </row>
    <row r="20" spans="1:4" x14ac:dyDescent="0.3">
      <c r="A20" s="4">
        <v>45779</v>
      </c>
      <c r="D20" s="6">
        <v>600000</v>
      </c>
    </row>
    <row r="21" spans="1:4" x14ac:dyDescent="0.3">
      <c r="A21" s="4">
        <v>45785</v>
      </c>
      <c r="D21" s="6">
        <v>500000</v>
      </c>
    </row>
    <row r="22" spans="1:4" x14ac:dyDescent="0.3">
      <c r="A22" s="4">
        <v>45793</v>
      </c>
      <c r="D22" s="6">
        <v>550000</v>
      </c>
    </row>
    <row r="23" spans="1:4" x14ac:dyDescent="0.3">
      <c r="A23" s="4">
        <v>45800</v>
      </c>
      <c r="D23" s="6">
        <v>550000</v>
      </c>
    </row>
    <row r="24" spans="1:4" x14ac:dyDescent="0.3">
      <c r="A24" s="4">
        <v>45807</v>
      </c>
      <c r="D24" s="6">
        <v>650000</v>
      </c>
    </row>
    <row r="25" spans="1:4" x14ac:dyDescent="0.3">
      <c r="A25" s="4">
        <v>45814</v>
      </c>
      <c r="D25" s="6">
        <v>650000</v>
      </c>
    </row>
    <row r="26" spans="1:4" x14ac:dyDescent="0.3">
      <c r="A26" s="4">
        <v>45821</v>
      </c>
      <c r="D26" s="6">
        <v>550000</v>
      </c>
    </row>
    <row r="27" spans="1:4" x14ac:dyDescent="0.3">
      <c r="A27" s="4">
        <v>45828</v>
      </c>
      <c r="D27" s="6">
        <v>500000</v>
      </c>
    </row>
    <row r="28" spans="1:4" x14ac:dyDescent="0.3">
      <c r="A28" s="4">
        <v>45835</v>
      </c>
      <c r="D28" s="6">
        <v>650000</v>
      </c>
    </row>
    <row r="29" spans="1:4" x14ac:dyDescent="0.3">
      <c r="A29" s="4">
        <v>45842</v>
      </c>
      <c r="D29" s="6">
        <v>480000</v>
      </c>
    </row>
    <row r="30" spans="1:4" x14ac:dyDescent="0.3">
      <c r="A30" s="4">
        <v>45849</v>
      </c>
      <c r="D30" s="6">
        <v>580000</v>
      </c>
    </row>
    <row r="31" spans="1:4" x14ac:dyDescent="0.3">
      <c r="A31" s="4">
        <v>45856</v>
      </c>
      <c r="D31" s="6">
        <v>650000</v>
      </c>
    </row>
    <row r="32" spans="1:4" x14ac:dyDescent="0.3">
      <c r="A32" s="4">
        <v>45863</v>
      </c>
      <c r="D32" s="6">
        <v>600000</v>
      </c>
    </row>
    <row r="33" spans="1:4" x14ac:dyDescent="0.3">
      <c r="A33" s="4">
        <v>45870</v>
      </c>
      <c r="D33" s="6">
        <v>600000</v>
      </c>
    </row>
    <row r="34" spans="1:4" x14ac:dyDescent="0.3">
      <c r="A34" s="4">
        <v>45877</v>
      </c>
      <c r="D34" s="6">
        <v>550000</v>
      </c>
    </row>
    <row r="35" spans="1:4" x14ac:dyDescent="0.3">
      <c r="A35" s="4">
        <v>45884</v>
      </c>
      <c r="D35" s="6">
        <v>680000</v>
      </c>
    </row>
    <row r="36" spans="1:4" x14ac:dyDescent="0.3">
      <c r="A36" s="4">
        <v>45891</v>
      </c>
      <c r="D36" s="6">
        <v>700000</v>
      </c>
    </row>
    <row r="37" spans="1:4" x14ac:dyDescent="0.3">
      <c r="A37" s="4">
        <v>45898</v>
      </c>
      <c r="D37" s="6">
        <v>700000</v>
      </c>
    </row>
    <row r="38" spans="1:4" x14ac:dyDescent="0.3">
      <c r="A38" s="4">
        <v>45905</v>
      </c>
      <c r="D38" s="6">
        <v>750000</v>
      </c>
    </row>
    <row r="39" spans="1:4" x14ac:dyDescent="0.3">
      <c r="A39" s="4">
        <v>45912</v>
      </c>
      <c r="D39" s="6">
        <v>750000</v>
      </c>
    </row>
    <row r="40" spans="1:4" x14ac:dyDescent="0.3">
      <c r="A40" s="4">
        <v>45919</v>
      </c>
      <c r="D40" s="6">
        <v>650000</v>
      </c>
    </row>
    <row r="41" spans="1:4" x14ac:dyDescent="0.3">
      <c r="A41" s="4">
        <v>45926</v>
      </c>
      <c r="D41" s="6">
        <v>780000</v>
      </c>
    </row>
    <row r="42" spans="1:4" x14ac:dyDescent="0.3">
      <c r="A42" s="4">
        <v>45933</v>
      </c>
      <c r="D42" s="6">
        <v>750000</v>
      </c>
    </row>
    <row r="43" spans="1:4" x14ac:dyDescent="0.3">
      <c r="A43" s="4">
        <v>45940</v>
      </c>
      <c r="D43" s="6">
        <v>750000</v>
      </c>
    </row>
    <row r="44" spans="1:4" x14ac:dyDescent="0.3">
      <c r="A44" s="4">
        <v>45947</v>
      </c>
      <c r="D44" s="6">
        <v>750000</v>
      </c>
    </row>
    <row r="45" spans="1:4" x14ac:dyDescent="0.3">
      <c r="A45" s="4">
        <v>45954</v>
      </c>
      <c r="D45" s="6">
        <v>750000</v>
      </c>
    </row>
    <row r="46" spans="1:4" x14ac:dyDescent="0.3">
      <c r="A46" s="4">
        <v>45961</v>
      </c>
      <c r="D46" s="6">
        <v>900000</v>
      </c>
    </row>
    <row r="47" spans="1:4" x14ac:dyDescent="0.3">
      <c r="A47" s="4">
        <v>45968</v>
      </c>
      <c r="D47" s="6">
        <v>900000</v>
      </c>
    </row>
    <row r="48" spans="1:4" x14ac:dyDescent="0.3">
      <c r="A48" s="4">
        <v>45975</v>
      </c>
      <c r="D48" s="6">
        <v>900000</v>
      </c>
    </row>
    <row r="49" spans="1:16" x14ac:dyDescent="0.3">
      <c r="A49" s="4">
        <v>45982</v>
      </c>
      <c r="D49" s="6">
        <v>750000</v>
      </c>
    </row>
    <row r="50" spans="1:16" x14ac:dyDescent="0.3">
      <c r="A50" s="4">
        <v>45989</v>
      </c>
      <c r="D50" s="6">
        <v>1000000</v>
      </c>
    </row>
    <row r="51" spans="1:16" x14ac:dyDescent="0.3">
      <c r="A51" s="4">
        <v>45996</v>
      </c>
      <c r="B51">
        <v>4378</v>
      </c>
      <c r="D51" s="6">
        <v>1100000</v>
      </c>
    </row>
    <row r="52" spans="1:16" x14ac:dyDescent="0.3">
      <c r="A52" s="4">
        <v>46003</v>
      </c>
      <c r="B52">
        <v>4342</v>
      </c>
      <c r="D52" s="6">
        <v>1150000</v>
      </c>
    </row>
    <row r="53" spans="1:16" x14ac:dyDescent="0.3">
      <c r="A53" s="4">
        <v>46010</v>
      </c>
      <c r="B53">
        <v>4248</v>
      </c>
      <c r="D53" s="6">
        <v>1150000</v>
      </c>
    </row>
    <row r="54" spans="1:16" x14ac:dyDescent="0.3">
      <c r="A54" s="4">
        <v>46017</v>
      </c>
      <c r="D54" s="6">
        <v>1110000</v>
      </c>
    </row>
    <row r="55" spans="1:16" x14ac:dyDescent="0.3">
      <c r="A55" s="4">
        <v>46024</v>
      </c>
      <c r="B55" s="6">
        <f>4444</f>
        <v>4444</v>
      </c>
      <c r="C55" s="6">
        <f>4429</f>
        <v>4429</v>
      </c>
      <c r="D55" s="6">
        <v>900000</v>
      </c>
      <c r="E55" s="9">
        <v>4427</v>
      </c>
      <c r="F55" s="9">
        <v>4258</v>
      </c>
      <c r="G55" s="9">
        <v>4390</v>
      </c>
      <c r="H55" s="9">
        <v>4011</v>
      </c>
      <c r="I55" s="9">
        <v>3933</v>
      </c>
      <c r="K55" s="9">
        <v>1469.61</v>
      </c>
      <c r="L55" s="10">
        <f>+E55/K55</f>
        <v>3.0123638244160018</v>
      </c>
      <c r="M55" s="10">
        <f>+F55/K55</f>
        <v>2.8973673287470829</v>
      </c>
      <c r="N55" s="10">
        <f>+G55/K55</f>
        <v>2.9871870768435165</v>
      </c>
      <c r="O55" s="10">
        <f>+H55/K55</f>
        <v>2.7292955273848167</v>
      </c>
      <c r="P55" s="10">
        <f>+I55/K55</f>
        <v>2.6762202216914694</v>
      </c>
    </row>
    <row r="56" spans="1:16" x14ac:dyDescent="0.3">
      <c r="A56" s="4">
        <v>46031</v>
      </c>
      <c r="B56" s="6">
        <f>4457</f>
        <v>4457</v>
      </c>
      <c r="C56" s="6">
        <f>4270</f>
        <v>4270</v>
      </c>
      <c r="D56" s="6">
        <v>900000</v>
      </c>
      <c r="E56" s="9">
        <v>4294</v>
      </c>
      <c r="F56" s="9">
        <v>4274</v>
      </c>
      <c r="G56" s="9">
        <v>4282</v>
      </c>
      <c r="H56" s="9">
        <v>4183</v>
      </c>
      <c r="I56" s="9">
        <v>4213</v>
      </c>
      <c r="K56" s="9">
        <v>1466.4689000000001</v>
      </c>
      <c r="L56" s="10">
        <f>+E56/K56</f>
        <v>2.9281221033736204</v>
      </c>
      <c r="M56" s="10">
        <f>+F56/K56</f>
        <v>2.9144839007496168</v>
      </c>
      <c r="N56" s="10">
        <f>+G56/K56</f>
        <v>2.9199391817992182</v>
      </c>
      <c r="O56" s="10">
        <f>+H56/K56</f>
        <v>2.8524300788103996</v>
      </c>
      <c r="P56" s="10">
        <f>+I56/K56</f>
        <v>2.8728873827464052</v>
      </c>
    </row>
    <row r="57" spans="1:16" x14ac:dyDescent="0.3">
      <c r="A57" s="4">
        <v>46038</v>
      </c>
      <c r="B57" s="6">
        <f>4395</f>
        <v>4395</v>
      </c>
      <c r="C57" s="6">
        <f>4260</f>
        <v>4260</v>
      </c>
      <c r="D57" s="6">
        <v>1000000</v>
      </c>
      <c r="E57" s="9">
        <v>4253</v>
      </c>
      <c r="F57" s="9">
        <v>4273</v>
      </c>
      <c r="G57" s="9">
        <v>4287</v>
      </c>
      <c r="H57" s="9">
        <v>4364</v>
      </c>
      <c r="I57" s="9">
        <v>3915</v>
      </c>
      <c r="K57" s="9">
        <v>1431.0550000000001</v>
      </c>
      <c r="L57" s="10">
        <f>+E57/K57</f>
        <v>2.9719332939684358</v>
      </c>
      <c r="M57" s="10">
        <f>+F57/K57</f>
        <v>2.985908997208353</v>
      </c>
      <c r="N57" s="10">
        <f>+G57/K57</f>
        <v>2.9956919894762954</v>
      </c>
      <c r="O57" s="10">
        <f>+H57/K57</f>
        <v>3.0494984469499773</v>
      </c>
      <c r="P57" s="10">
        <f>+I57/K57</f>
        <v>2.7357439092138316</v>
      </c>
    </row>
    <row r="58" spans="1:16" x14ac:dyDescent="0.3">
      <c r="A58" s="4">
        <v>46045</v>
      </c>
      <c r="B58" s="6">
        <f>4414</f>
        <v>4414</v>
      </c>
      <c r="C58" s="6">
        <f>4307</f>
        <v>4307</v>
      </c>
      <c r="D58" s="6">
        <v>1000000</v>
      </c>
      <c r="E58" s="9">
        <v>4348</v>
      </c>
      <c r="F58" s="9">
        <v>4251</v>
      </c>
      <c r="G58" s="9">
        <v>4253</v>
      </c>
      <c r="H58" s="9">
        <v>4228</v>
      </c>
      <c r="I58" s="9">
        <v>3989</v>
      </c>
      <c r="K58" s="9">
        <v>1433.1999000000001</v>
      </c>
      <c r="L58" s="10">
        <f>+E58/K58</f>
        <v>3.0337707949881936</v>
      </c>
      <c r="M58" s="10">
        <f>+F58/K58</f>
        <v>2.9660900757807753</v>
      </c>
      <c r="N58" s="10">
        <f>+G58/K58</f>
        <v>2.96748555452732</v>
      </c>
      <c r="O58" s="10">
        <f>+H58/K58</f>
        <v>2.9500420701955115</v>
      </c>
      <c r="P58" s="10">
        <f>+I58/K58</f>
        <v>2.7832823599834189</v>
      </c>
    </row>
    <row r="59" spans="1:16" x14ac:dyDescent="0.3">
      <c r="A59" s="4">
        <v>46052</v>
      </c>
      <c r="B59" s="6">
        <f>4581</f>
        <v>4581</v>
      </c>
      <c r="C59" s="6">
        <f>4361</f>
        <v>4361</v>
      </c>
      <c r="D59" s="6">
        <v>950000</v>
      </c>
      <c r="E59" s="9">
        <v>4440</v>
      </c>
      <c r="F59" s="9">
        <v>4293</v>
      </c>
      <c r="G59" s="9">
        <v>4336</v>
      </c>
      <c r="H59" s="9">
        <v>4589</v>
      </c>
      <c r="I59" s="9">
        <v>4334</v>
      </c>
      <c r="K59" s="9">
        <v>1447.6657</v>
      </c>
      <c r="L59" s="10">
        <f>+E59/K59</f>
        <v>3.067006422822617</v>
      </c>
      <c r="M59" s="10">
        <f>+F59/K59</f>
        <v>2.9654636426075438</v>
      </c>
      <c r="N59" s="10">
        <f>+G59/K59</f>
        <v>2.9951666327384836</v>
      </c>
      <c r="O59" s="10">
        <f>+H59/K59</f>
        <v>3.1699307374623853</v>
      </c>
      <c r="P59" s="10">
        <f>+I59/K59</f>
        <v>2.993785098313789</v>
      </c>
    </row>
    <row r="60" spans="1:16" x14ac:dyDescent="0.3">
      <c r="A60" s="4">
        <v>46059</v>
      </c>
      <c r="B60" s="6">
        <f>4698</f>
        <v>4698</v>
      </c>
      <c r="C60" s="6">
        <f>4545</f>
        <v>4545</v>
      </c>
      <c r="D60" s="6">
        <v>950000</v>
      </c>
      <c r="E60" s="9">
        <v>4593</v>
      </c>
      <c r="F60" s="9">
        <v>4388</v>
      </c>
      <c r="G60" s="9">
        <v>4491</v>
      </c>
      <c r="H60" s="9">
        <v>4530</v>
      </c>
      <c r="I60" s="9">
        <v>4246</v>
      </c>
      <c r="K60" s="9">
        <v>1430.5889999999999</v>
      </c>
      <c r="L60" s="10">
        <f>+E60/K60</f>
        <v>3.2105657180364173</v>
      </c>
      <c r="M60" s="10">
        <f>+F60/K60</f>
        <v>3.067268097266231</v>
      </c>
      <c r="N60" s="10">
        <f>+G60/K60</f>
        <v>3.1392664140434468</v>
      </c>
      <c r="O60" s="10">
        <f>+H60/K60</f>
        <v>3.166527912628994</v>
      </c>
      <c r="P60" s="10">
        <f>+I60/K60</f>
        <v>2.9680082819034679</v>
      </c>
    </row>
    <row r="61" spans="1:16" x14ac:dyDescent="0.3">
      <c r="A61" s="4">
        <v>46066</v>
      </c>
      <c r="B61" s="6">
        <f>4696</f>
        <v>4696</v>
      </c>
      <c r="C61" s="6">
        <f>4772</f>
        <v>4772</v>
      </c>
      <c r="D61" s="6">
        <v>1200000</v>
      </c>
      <c r="E61" s="9">
        <v>4754</v>
      </c>
      <c r="F61" s="9">
        <v>4638</v>
      </c>
      <c r="G61" s="9">
        <v>4661</v>
      </c>
      <c r="H61" s="9">
        <v>4590</v>
      </c>
      <c r="I61" s="9">
        <v>4438</v>
      </c>
      <c r="K61" s="9">
        <v>1395.4204999999999</v>
      </c>
      <c r="L61" s="10">
        <f>+E61/K61</f>
        <v>3.4068583627659192</v>
      </c>
      <c r="M61" s="10">
        <f>+F61/K61</f>
        <v>3.3237292988027622</v>
      </c>
      <c r="N61" s="10">
        <f>+G61/K61</f>
        <v>3.3402117856230435</v>
      </c>
      <c r="O61" s="10">
        <f>+H61/K61</f>
        <v>3.2893310654386978</v>
      </c>
      <c r="P61" s="10">
        <f>+I61/K61</f>
        <v>3.1804033264524922</v>
      </c>
    </row>
    <row r="62" spans="1:16" x14ac:dyDescent="0.3">
      <c r="A62" s="4">
        <v>46073</v>
      </c>
      <c r="B62" s="6">
        <f>5089</f>
        <v>5089</v>
      </c>
      <c r="C62" s="6">
        <f>4958</f>
        <v>4958</v>
      </c>
      <c r="D62" s="6">
        <v>1200000</v>
      </c>
      <c r="E62" s="9">
        <v>4773</v>
      </c>
      <c r="F62" s="9">
        <v>4723</v>
      </c>
      <c r="G62" s="9">
        <v>4713</v>
      </c>
      <c r="H62" s="9">
        <v>4677</v>
      </c>
      <c r="I62" s="9">
        <v>4664</v>
      </c>
      <c r="K62" s="9">
        <v>1384.2049999999999</v>
      </c>
      <c r="L62" s="10">
        <f>+E62/K62</f>
        <v>3.4481886714756849</v>
      </c>
      <c r="M62" s="10">
        <f>+F62/K62</f>
        <v>3.4120668542593044</v>
      </c>
      <c r="N62" s="10">
        <f>+G62/K62</f>
        <v>3.4048424908160282</v>
      </c>
      <c r="O62" s="10">
        <f>+H62/K62</f>
        <v>3.3788347824202343</v>
      </c>
      <c r="P62" s="10">
        <f>+I62/K62</f>
        <v>3.3694431099439752</v>
      </c>
    </row>
    <row r="63" spans="1:16" x14ac:dyDescent="0.3">
      <c r="A63" s="4">
        <v>46080</v>
      </c>
      <c r="B63" s="6">
        <f>5203</f>
        <v>5203</v>
      </c>
      <c r="C63" s="6">
        <f>5085</f>
        <v>5085</v>
      </c>
      <c r="D63" s="6">
        <v>1200000</v>
      </c>
      <c r="E63" s="9">
        <v>5055</v>
      </c>
      <c r="F63" s="9">
        <v>4750</v>
      </c>
      <c r="G63" s="9">
        <v>4762</v>
      </c>
      <c r="H63" s="9">
        <v>4739</v>
      </c>
      <c r="I63" s="9">
        <v>4451</v>
      </c>
      <c r="K63" s="9">
        <v>1408.9662000000001</v>
      </c>
      <c r="L63" s="10">
        <f>+E63/K63</f>
        <v>3.5877368811260339</v>
      </c>
      <c r="M63" s="10">
        <f>+F63/K63</f>
        <v>3.3712661098612582</v>
      </c>
      <c r="N63" s="10">
        <f>+G63/K63</f>
        <v>3.3797829926651186</v>
      </c>
      <c r="O63" s="10">
        <f>+H63/K63</f>
        <v>3.3634589672910535</v>
      </c>
      <c r="P63" s="10">
        <f>+I63/K63</f>
        <v>3.1590537799984131</v>
      </c>
    </row>
    <row r="64" spans="1:16" x14ac:dyDescent="0.3">
      <c r="A64" s="4">
        <v>46087</v>
      </c>
      <c r="B64" s="6">
        <f>4847.9</f>
        <v>4847.8999999999996</v>
      </c>
      <c r="C64" s="6">
        <f>5047</f>
        <v>5047</v>
      </c>
      <c r="D64" s="6">
        <v>1150000</v>
      </c>
      <c r="E64" s="9">
        <v>4848</v>
      </c>
      <c r="F64" s="9">
        <v>4670</v>
      </c>
      <c r="G64" s="9">
        <v>4683</v>
      </c>
      <c r="H64" s="9">
        <v>4556</v>
      </c>
      <c r="I64" s="9">
        <v>4426</v>
      </c>
      <c r="K64" s="9">
        <v>1413.8217999999999</v>
      </c>
      <c r="L64" s="10">
        <f>+E64/K64</f>
        <v>3.4290035703226533</v>
      </c>
      <c r="M64" s="10">
        <f>+F64/K64</f>
        <v>3.3031036867588264</v>
      </c>
      <c r="N64" s="10">
        <f>+G64/K64</f>
        <v>3.3122986220752857</v>
      </c>
      <c r="O64" s="10">
        <f>+H64/K64</f>
        <v>3.2224711770606453</v>
      </c>
      <c r="P64" s="10">
        <f>+I64/K64</f>
        <v>3.1305218238960526</v>
      </c>
    </row>
    <row r="65" spans="1:16" x14ac:dyDescent="0.3">
      <c r="A65" s="4">
        <v>46094</v>
      </c>
      <c r="B65" s="6">
        <f>4709</f>
        <v>4709</v>
      </c>
      <c r="C65" s="6">
        <f>4914</f>
        <v>4914</v>
      </c>
      <c r="D65" s="6">
        <v>1200000</v>
      </c>
      <c r="E65" s="9">
        <v>4709</v>
      </c>
      <c r="F65" s="9">
        <v>4699</v>
      </c>
      <c r="G65" s="9">
        <v>4608</v>
      </c>
      <c r="H65" s="9">
        <v>4606</v>
      </c>
      <c r="I65" s="9">
        <v>4189</v>
      </c>
      <c r="K65" s="9">
        <v>1392.98</v>
      </c>
      <c r="L65" s="10">
        <f>+E65/K65</f>
        <v>3.3805223334146937</v>
      </c>
      <c r="M65" s="10">
        <f>+F65/K65</f>
        <v>3.373343479446941</v>
      </c>
      <c r="N65" s="10">
        <f>+G65/K65</f>
        <v>3.3080159083403924</v>
      </c>
      <c r="O65" s="10">
        <f>+H65/K65</f>
        <v>3.3065801375468418</v>
      </c>
      <c r="P65" s="10">
        <f>+I65/K65</f>
        <v>3.007221927091559</v>
      </c>
    </row>
    <row r="66" spans="1:16" x14ac:dyDescent="0.3">
      <c r="A66" s="4">
        <v>46101</v>
      </c>
      <c r="B66" s="6">
        <f>4649</f>
        <v>4649</v>
      </c>
      <c r="C66" s="6">
        <f>4798</f>
        <v>4798</v>
      </c>
      <c r="D66" s="6">
        <v>1100000</v>
      </c>
      <c r="E66" s="9">
        <v>4649</v>
      </c>
      <c r="F66" s="9">
        <v>4620</v>
      </c>
      <c r="G66" s="9">
        <v>4694</v>
      </c>
      <c r="H66" s="9">
        <v>4569</v>
      </c>
      <c r="I66" s="9">
        <v>3968</v>
      </c>
      <c r="K66" s="9">
        <v>1393.44</v>
      </c>
      <c r="L66" s="10">
        <f>+E66/K66</f>
        <v>3.3363474566540359</v>
      </c>
      <c r="M66" s="10">
        <f>+F66/K66</f>
        <v>3.3155356527729931</v>
      </c>
      <c r="N66" s="10">
        <f>+G66/K66</f>
        <v>3.3686416350901367</v>
      </c>
      <c r="O66" s="10">
        <f>+H66/K66</f>
        <v>3.278935583878746</v>
      </c>
      <c r="P66" s="10">
        <f>+I66/K66</f>
        <v>2.8476288896543802</v>
      </c>
    </row>
    <row r="67" spans="1:16" x14ac:dyDescent="0.3">
      <c r="A67" s="4">
        <v>46108</v>
      </c>
      <c r="B67" s="6">
        <f>4572</f>
        <v>4572</v>
      </c>
      <c r="C67" s="6">
        <f>4756</f>
        <v>4756</v>
      </c>
      <c r="D67" s="6">
        <v>1100000</v>
      </c>
      <c r="E67" s="9">
        <v>4572</v>
      </c>
      <c r="F67" s="9">
        <v>4542</v>
      </c>
      <c r="G67" s="9">
        <v>4429</v>
      </c>
      <c r="H67" s="9">
        <v>4386</v>
      </c>
      <c r="I67" s="9">
        <v>4250</v>
      </c>
      <c r="K67" s="9">
        <v>1376</v>
      </c>
      <c r="L67" s="10">
        <f>+E67/K67</f>
        <v>3.3226744186046511</v>
      </c>
      <c r="M67" s="10">
        <f>+F67/K67</f>
        <v>3.3008720930232558</v>
      </c>
      <c r="N67" s="10">
        <f>+G67/K67</f>
        <v>3.21875</v>
      </c>
      <c r="O67" s="10">
        <f>+H67/K67</f>
        <v>3.1875</v>
      </c>
      <c r="P67" s="10">
        <f>+I67/K67</f>
        <v>3.0886627906976742</v>
      </c>
    </row>
    <row r="68" spans="1:16" x14ac:dyDescent="0.3">
      <c r="A68" s="4">
        <v>46115</v>
      </c>
      <c r="B68" s="6">
        <f>4929</f>
        <v>4929</v>
      </c>
      <c r="C68" s="6">
        <f>4639</f>
        <v>4639</v>
      </c>
      <c r="D68" s="6">
        <v>1100000</v>
      </c>
      <c r="E68" s="9">
        <v>4539</v>
      </c>
      <c r="F68" s="9">
        <v>4399</v>
      </c>
      <c r="G68" s="9">
        <v>4335</v>
      </c>
      <c r="H68" s="9">
        <v>4280</v>
      </c>
      <c r="I68" s="9">
        <v>4078</v>
      </c>
      <c r="K68" s="9">
        <v>1387.7</v>
      </c>
      <c r="L68" s="10">
        <f>+E68/K68</f>
        <v>3.2708798731714346</v>
      </c>
      <c r="M68" s="10">
        <f>+F68/K68</f>
        <v>3.1699935144483677</v>
      </c>
      <c r="N68" s="10">
        <f>+G68/K68</f>
        <v>3.1238740361749655</v>
      </c>
      <c r="O68" s="10">
        <f>+H68/K68</f>
        <v>3.0842401095337606</v>
      </c>
      <c r="P68" s="10">
        <f>+I68/K68</f>
        <v>2.9386755062333356</v>
      </c>
    </row>
    <row r="69" spans="1:16" x14ac:dyDescent="0.3">
      <c r="A69" s="4">
        <v>46122</v>
      </c>
      <c r="B69" s="6">
        <f>4959</f>
        <v>4959</v>
      </c>
      <c r="C69" s="6">
        <f>4852</f>
        <v>4852</v>
      </c>
      <c r="D69" s="6">
        <v>1000000</v>
      </c>
      <c r="E69" s="9">
        <v>4575</v>
      </c>
      <c r="F69" s="9">
        <v>4450</v>
      </c>
      <c r="G69" s="9">
        <v>4408</v>
      </c>
      <c r="H69" s="9">
        <v>4324</v>
      </c>
      <c r="I69" s="9">
        <v>4134</v>
      </c>
      <c r="K69" s="9">
        <v>1373.9</v>
      </c>
      <c r="L69" s="10">
        <f>+E69/K69</f>
        <v>3.3299366766140182</v>
      </c>
      <c r="M69" s="10">
        <f>+F69/K69</f>
        <v>3.2389548002037993</v>
      </c>
      <c r="N69" s="10">
        <f>+G69/K69</f>
        <v>3.2083848897299654</v>
      </c>
      <c r="O69" s="10">
        <f>+H69/K69</f>
        <v>3.1472450687822984</v>
      </c>
      <c r="P69" s="10">
        <f>+I69/K69</f>
        <v>3.0089526166387652</v>
      </c>
    </row>
    <row r="70" spans="1:16" x14ac:dyDescent="0.3">
      <c r="A70" s="4">
        <v>46129</v>
      </c>
      <c r="B70" s="6">
        <f>4889</f>
        <v>4889</v>
      </c>
      <c r="C70" s="6">
        <f>4719</f>
        <v>4719</v>
      </c>
      <c r="D70" s="6">
        <v>1000000</v>
      </c>
      <c r="E70" s="9">
        <v>4560</v>
      </c>
      <c r="F70" s="9">
        <v>4354</v>
      </c>
      <c r="G70" s="9">
        <v>4335</v>
      </c>
      <c r="H70" s="9">
        <v>4375</v>
      </c>
      <c r="I70" s="9">
        <v>4023</v>
      </c>
      <c r="K70" s="9">
        <v>1360.03</v>
      </c>
      <c r="L70" s="10">
        <f>+E70/K70</f>
        <v>3.3528672161643494</v>
      </c>
      <c r="M70" s="10">
        <f>+F70/K70</f>
        <v>3.2013999691183281</v>
      </c>
      <c r="N70" s="10">
        <f>+G70/K70</f>
        <v>3.187429689050977</v>
      </c>
      <c r="O70" s="10">
        <f>+H70/K70</f>
        <v>3.216840804982243</v>
      </c>
      <c r="P70" s="10">
        <f>+I70/K70</f>
        <v>2.9580229847871005</v>
      </c>
    </row>
    <row r="71" spans="1:16" x14ac:dyDescent="0.3">
      <c r="A71" s="4">
        <v>46136</v>
      </c>
      <c r="B71" s="6">
        <f>5008</f>
        <v>5008</v>
      </c>
      <c r="C71" s="6">
        <f>4817</f>
        <v>4817</v>
      </c>
      <c r="D71" s="6">
        <v>1000000</v>
      </c>
      <c r="E71" s="9">
        <v>4764</v>
      </c>
      <c r="F71" s="9">
        <v>4516</v>
      </c>
      <c r="G71" s="9">
        <v>4424</v>
      </c>
      <c r="H71" s="9">
        <v>4422</v>
      </c>
      <c r="I71" s="9">
        <v>4366</v>
      </c>
      <c r="K71" s="9">
        <v>1397.21</v>
      </c>
      <c r="L71" s="10">
        <f>+E71/K71</f>
        <v>3.4096520923841083</v>
      </c>
      <c r="M71" s="10">
        <f>+F71/K71</f>
        <v>3.2321555099090329</v>
      </c>
      <c r="N71" s="10">
        <f>+G71/K71</f>
        <v>3.1663100035069887</v>
      </c>
      <c r="O71" s="10">
        <f>+H71/K71</f>
        <v>3.1648785794547707</v>
      </c>
      <c r="P71" s="10">
        <f>+I71/K71</f>
        <v>3.1247987059926565</v>
      </c>
    </row>
    <row r="72" spans="1:16" x14ac:dyDescent="0.3">
      <c r="A72" s="4">
        <v>46143</v>
      </c>
      <c r="B72" s="6">
        <f>4981.32</f>
        <v>4981.32</v>
      </c>
      <c r="C72" s="6">
        <f>4711.36</f>
        <v>4711.3599999999997</v>
      </c>
      <c r="D72" s="6">
        <v>1100000</v>
      </c>
      <c r="E72" s="9">
        <v>4671.2</v>
      </c>
      <c r="F72" s="9">
        <v>4507.53</v>
      </c>
      <c r="G72" s="9">
        <v>4442.4639999999999</v>
      </c>
      <c r="H72" s="9">
        <v>4502.8</v>
      </c>
      <c r="I72" s="9">
        <v>4265.6499999999996</v>
      </c>
      <c r="K72" s="9">
        <v>1381.09</v>
      </c>
      <c r="L72" s="10">
        <f>+E72/K72</f>
        <v>3.3822560441390497</v>
      </c>
      <c r="M72" s="10">
        <f>+F72/K72</f>
        <v>3.263748198886387</v>
      </c>
      <c r="N72" s="10">
        <f>+G72/K72</f>
        <v>3.216636135226524</v>
      </c>
      <c r="O72" s="10">
        <f>+H72/K72</f>
        <v>3.260323367774729</v>
      </c>
      <c r="P72" s="10">
        <f>+I72/K72</f>
        <v>3.0886111694386318</v>
      </c>
    </row>
    <row r="73" spans="1:16" x14ac:dyDescent="0.3">
      <c r="A73" s="4">
        <v>46150</v>
      </c>
      <c r="B73" s="6">
        <f>4963.38</f>
        <v>4963.38</v>
      </c>
      <c r="C73" s="6">
        <f>4618.59</f>
        <v>4618.59</v>
      </c>
      <c r="D73" s="6">
        <v>1100000</v>
      </c>
      <c r="E73" s="9">
        <v>4572.62</v>
      </c>
      <c r="F73" s="9">
        <v>4445.25</v>
      </c>
      <c r="G73" s="9">
        <v>4415.84</v>
      </c>
      <c r="H73" s="9">
        <v>4306.0200000000004</v>
      </c>
      <c r="I73" s="9">
        <v>4194.92</v>
      </c>
      <c r="K73" s="9">
        <v>1394.12</v>
      </c>
      <c r="L73" s="10">
        <f>+E73/K73</f>
        <v>3.2799328608728087</v>
      </c>
      <c r="M73" s="10">
        <f>+F73/K73</f>
        <v>3.1885705678133878</v>
      </c>
      <c r="N73" s="10">
        <f>+G73/K73</f>
        <v>3.1674748228273035</v>
      </c>
      <c r="O73" s="10">
        <f>+H73/K73</f>
        <v>3.0887011161162601</v>
      </c>
      <c r="P73" s="10">
        <f>+I73/K73</f>
        <v>3.0090092674949074</v>
      </c>
    </row>
    <row r="74" spans="1:16" x14ac:dyDescent="0.3">
      <c r="A74" s="4">
        <v>46157</v>
      </c>
      <c r="B74" s="6">
        <f>4809.15</f>
        <v>4809.1499999999996</v>
      </c>
      <c r="C74" s="6">
        <f>4694.32</f>
        <v>4694.32</v>
      </c>
      <c r="D74" s="6">
        <v>1100000</v>
      </c>
      <c r="E74" s="9">
        <v>4545.13</v>
      </c>
      <c r="F74" s="9">
        <v>4451.55</v>
      </c>
      <c r="G74" s="9">
        <v>4367.72</v>
      </c>
      <c r="H74" s="9">
        <v>4254.79</v>
      </c>
      <c r="I74" s="9">
        <v>4078.01</v>
      </c>
      <c r="K74" s="9">
        <v>1395.35</v>
      </c>
      <c r="L74" s="10">
        <f>+E74/K74</f>
        <v>3.2573404522162903</v>
      </c>
      <c r="M74" s="10">
        <f>+F74/K74</f>
        <v>3.1902748414376325</v>
      </c>
      <c r="N74" s="10">
        <f>+G74/K74</f>
        <v>3.1301967248360629</v>
      </c>
      <c r="O74" s="10">
        <f>+H74/K74</f>
        <v>3.0492636256136456</v>
      </c>
      <c r="P74" s="10">
        <f>+I74/K74</f>
        <v>2.922571397857169</v>
      </c>
    </row>
    <row r="75" spans="1:16" x14ac:dyDescent="0.3">
      <c r="A75" s="4">
        <v>46164</v>
      </c>
      <c r="B75" s="6">
        <f>4949.86</f>
        <v>4949.8599999999997</v>
      </c>
      <c r="C75" s="6">
        <f>4692.69</f>
        <v>4692.6899999999996</v>
      </c>
      <c r="D75" s="6">
        <v>1100000</v>
      </c>
      <c r="E75" s="9">
        <v>4502.63</v>
      </c>
      <c r="F75" s="9">
        <v>4438.21</v>
      </c>
      <c r="G75" s="9">
        <v>4331.67</v>
      </c>
      <c r="H75" s="9">
        <v>4260.05</v>
      </c>
      <c r="I75" s="9">
        <v>4192.71</v>
      </c>
      <c r="K75" s="9">
        <v>1393.5</v>
      </c>
      <c r="L75" s="10">
        <f>+E75/K75</f>
        <v>3.2311661284535345</v>
      </c>
      <c r="M75" s="10">
        <f>+F75/K75</f>
        <v>3.1849372084678866</v>
      </c>
      <c r="N75" s="10">
        <f>+G75/K75</f>
        <v>3.1084822389666309</v>
      </c>
      <c r="O75" s="10">
        <f>+H75/K75</f>
        <v>3.0570864729099392</v>
      </c>
      <c r="P75" s="10">
        <f>+I75/K75</f>
        <v>3.0087621097954789</v>
      </c>
    </row>
    <row r="76" spans="1:16" x14ac:dyDescent="0.3">
      <c r="A76" s="15">
        <v>46171</v>
      </c>
      <c r="B76" s="6">
        <f>5113.18</f>
        <v>5113.18</v>
      </c>
      <c r="C76" s="6">
        <f>4731.54</f>
        <v>4731.54</v>
      </c>
      <c r="D76" s="6">
        <v>1100000</v>
      </c>
      <c r="E76" s="9">
        <v>4467.25</v>
      </c>
      <c r="F76" s="9">
        <v>4420.6499999999996</v>
      </c>
      <c r="G76" s="9">
        <v>4348.43</v>
      </c>
      <c r="H76" s="9">
        <v>4302.38</v>
      </c>
      <c r="I76" s="9">
        <v>3947.68</v>
      </c>
      <c r="K76" s="9">
        <v>1410.29</v>
      </c>
      <c r="L76" s="10">
        <f>+E76/K76</f>
        <v>3.1676109169036155</v>
      </c>
      <c r="M76" s="10">
        <f>+F76/K76</f>
        <v>3.1345680675605725</v>
      </c>
      <c r="N76" s="10">
        <f>+G76/K76</f>
        <v>3.0833587418190587</v>
      </c>
      <c r="O76" s="10">
        <f>+H76/K76</f>
        <v>3.0507058831871459</v>
      </c>
      <c r="P76" s="10">
        <f>+I76/K76</f>
        <v>2.7991973282090918</v>
      </c>
    </row>
    <row r="77" spans="1:16" x14ac:dyDescent="0.3">
      <c r="A77" s="15">
        <v>46178</v>
      </c>
      <c r="B77" s="6">
        <f>4713.64</f>
        <v>4713.6400000000003</v>
      </c>
      <c r="C77" s="6">
        <f>4595.2</f>
        <v>4595.2</v>
      </c>
      <c r="D77" s="6">
        <v>1100000</v>
      </c>
      <c r="E77" s="9">
        <v>4389.79</v>
      </c>
      <c r="F77" s="9">
        <v>4257.6000000000004</v>
      </c>
      <c r="G77" s="9">
        <v>4186.63</v>
      </c>
      <c r="H77" s="9">
        <v>4064.37</v>
      </c>
      <c r="I77" s="9">
        <v>3903.73</v>
      </c>
      <c r="K77" s="9">
        <v>1442.41</v>
      </c>
      <c r="L77" s="10">
        <f>+E77/K77</f>
        <v>3.0433718568229557</v>
      </c>
      <c r="M77" s="10">
        <f>+F77/K77</f>
        <v>2.9517266241914575</v>
      </c>
      <c r="N77" s="10">
        <f>+G77/K77</f>
        <v>2.902524247613369</v>
      </c>
      <c r="O77" s="10">
        <f>+H77/K77</f>
        <v>2.8177633266546955</v>
      </c>
      <c r="P77" s="10">
        <f>+I77/K77</f>
        <v>2.7063941597742667</v>
      </c>
    </row>
    <row r="78" spans="1:16" x14ac:dyDescent="0.3">
      <c r="A78" s="15">
        <v>46185</v>
      </c>
      <c r="B78" s="6">
        <f>5081.74</f>
        <v>5081.74</v>
      </c>
      <c r="C78" s="6">
        <f>4910.95</f>
        <v>4910.95</v>
      </c>
      <c r="D78" s="6">
        <v>1200000</v>
      </c>
      <c r="E78" s="9">
        <v>4681.62</v>
      </c>
      <c r="F78" s="9">
        <v>4473.42</v>
      </c>
      <c r="G78" s="9">
        <v>4383.8599999999997</v>
      </c>
      <c r="H78" s="9">
        <v>4322.8900000000003</v>
      </c>
      <c r="I78" s="9">
        <v>4003.93</v>
      </c>
      <c r="K78" s="9">
        <v>1430.81</v>
      </c>
      <c r="L78" s="10">
        <f>+E78/K78</f>
        <v>3.2720067653986202</v>
      </c>
      <c r="M78" s="10">
        <f>+F78/K78</f>
        <v>3.1264947826755476</v>
      </c>
      <c r="N78" s="10">
        <f>+G78/K78</f>
        <v>3.0639008673408767</v>
      </c>
      <c r="O78" s="10">
        <f>+H78/K78</f>
        <v>3.0212886407000235</v>
      </c>
      <c r="P78" s="10">
        <f>+I78/K78</f>
        <v>2.7983659605398339</v>
      </c>
    </row>
    <row r="79" spans="1:16" x14ac:dyDescent="0.3">
      <c r="A79" s="15">
        <v>46192</v>
      </c>
      <c r="B79" s="6">
        <f>4863.94</f>
        <v>4863.9399999999996</v>
      </c>
      <c r="C79" s="6">
        <f>4628.61</f>
        <v>4628.6099999999997</v>
      </c>
      <c r="D79" s="6">
        <v>1200000</v>
      </c>
      <c r="E79" s="9">
        <v>4483.3500000000004</v>
      </c>
      <c r="F79" s="9">
        <v>4377.12</v>
      </c>
      <c r="G79" s="9">
        <v>4375.1099999999997</v>
      </c>
      <c r="H79" s="9">
        <v>4247.7700000000004</v>
      </c>
      <c r="I79" s="9">
        <v>4201.9399999999996</v>
      </c>
      <c r="K79" s="9">
        <v>1460.25</v>
      </c>
      <c r="L79" s="10">
        <f>+E79/K79</f>
        <v>3.0702619414483823</v>
      </c>
      <c r="M79" s="10">
        <f>+F79/K79</f>
        <v>2.9975141242937853</v>
      </c>
      <c r="N79" s="10">
        <f>+G79/K79</f>
        <v>2.9961376476630712</v>
      </c>
      <c r="O79" s="10">
        <f>+H79/K79</f>
        <v>2.9089334018147581</v>
      </c>
      <c r="P79" s="10">
        <f>+I79/K79</f>
        <v>2.8775483650059916</v>
      </c>
    </row>
    <row r="80" spans="1:16" x14ac:dyDescent="0.3">
      <c r="A80" s="15">
        <v>46198</v>
      </c>
      <c r="B80" s="6">
        <f>4907.37</f>
        <v>4907.37</v>
      </c>
      <c r="C80" s="6">
        <f>4655.79</f>
        <v>4655.79</v>
      </c>
      <c r="D80" s="6">
        <v>1200000</v>
      </c>
      <c r="E80" s="9">
        <v>4501.3100000000004</v>
      </c>
      <c r="F80" s="9">
        <v>4288.87</v>
      </c>
      <c r="G80" s="9">
        <v>4237.8</v>
      </c>
      <c r="H80" s="9">
        <v>4102.3599999999997</v>
      </c>
      <c r="I80" s="9">
        <v>4153.9799999999996</v>
      </c>
      <c r="K80" s="9">
        <v>1477.3</v>
      </c>
      <c r="L80" s="10">
        <f>+E80/K80</f>
        <v>3.0469843633656</v>
      </c>
      <c r="M80" s="10">
        <f>+F80/K80</f>
        <v>2.9031814797265283</v>
      </c>
      <c r="N80" s="10">
        <f>+G80/K80</f>
        <v>2.8686116564001898</v>
      </c>
      <c r="O80" s="10">
        <f>+H80/K80</f>
        <v>2.7769308874297702</v>
      </c>
      <c r="P80" s="10">
        <f>+I80/K80</f>
        <v>2.8118730115751709</v>
      </c>
    </row>
    <row r="81" spans="1:4" x14ac:dyDescent="0.3">
      <c r="A81" s="15">
        <v>46206</v>
      </c>
      <c r="B81" s="6"/>
      <c r="C81" s="6"/>
      <c r="D81" s="6">
        <v>1200000</v>
      </c>
    </row>
  </sheetData>
  <mergeCells count="2">
    <mergeCell ref="E1:I1"/>
    <mergeCell ref="L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7A1B-B68D-4422-8E83-D0DFDE27A256}">
  <dimension ref="A1:N24"/>
  <sheetViews>
    <sheetView workbookViewId="0">
      <selection activeCell="E17" sqref="E17"/>
    </sheetView>
  </sheetViews>
  <sheetFormatPr baseColWidth="10" defaultRowHeight="14.4" x14ac:dyDescent="0.3"/>
  <cols>
    <col min="2" max="2" width="13" customWidth="1"/>
    <col min="3" max="3" width="12.6640625" customWidth="1"/>
    <col min="4" max="4" width="16" customWidth="1"/>
    <col min="5" max="5" width="13.109375" customWidth="1"/>
    <col min="6" max="6" width="15.21875" customWidth="1"/>
    <col min="7" max="7" width="12.5546875" customWidth="1"/>
    <col min="8" max="8" width="15.109375" customWidth="1"/>
    <col min="10" max="10" width="15.6640625" bestFit="1" customWidth="1"/>
    <col min="11" max="13" width="16.77734375" bestFit="1" customWidth="1"/>
    <col min="14" max="14" width="14.33203125" bestFit="1" customWidth="1"/>
  </cols>
  <sheetData>
    <row r="1" spans="1:14" x14ac:dyDescent="0.3">
      <c r="B1" s="19" t="s">
        <v>30</v>
      </c>
      <c r="C1" s="19"/>
      <c r="D1" s="19"/>
      <c r="E1" s="19"/>
      <c r="F1" s="19"/>
      <c r="G1" s="19"/>
      <c r="H1" s="19"/>
      <c r="J1" s="18" t="s">
        <v>25</v>
      </c>
      <c r="K1" s="18"/>
      <c r="L1" s="18"/>
      <c r="M1" s="18"/>
      <c r="N1" s="18"/>
    </row>
    <row r="2" spans="1:14" x14ac:dyDescent="0.3">
      <c r="B2" s="13" t="s">
        <v>29</v>
      </c>
      <c r="C2" t="s">
        <v>26</v>
      </c>
      <c r="D2" t="s">
        <v>27</v>
      </c>
      <c r="E2" t="s">
        <v>28</v>
      </c>
      <c r="F2" s="8" t="s">
        <v>16</v>
      </c>
      <c r="G2" s="8" t="s">
        <v>14</v>
      </c>
      <c r="H2" s="8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3">
      <c r="A3" s="14">
        <v>46023</v>
      </c>
      <c r="B3" s="1">
        <f>AVERAGE('ccdh orden'!B54:H58)*0.585</f>
        <v>4382.4857142857145</v>
      </c>
      <c r="C3" s="1">
        <f>AVERAGE('ccdh orden'!I54:I58)</f>
        <v>5760</v>
      </c>
      <c r="D3" s="1">
        <f>AVERAGE('ccdh orden'!J54:J58)</f>
        <v>4880</v>
      </c>
      <c r="E3" s="1">
        <f>AVERAGE('MDO AGROGANADERO'!D55:D59)</f>
        <v>950000</v>
      </c>
      <c r="F3" s="1">
        <f>AVERAGE('MDO AGROGANADERO'!B55:C59)</f>
        <v>4391.8</v>
      </c>
      <c r="G3" s="1">
        <f>AVERAGE('ccdh orden'!N54:N58)*0.5</f>
        <v>2750</v>
      </c>
      <c r="H3" s="1">
        <f>AVERAGE('ccdh orden'!O54:O58)*0.46</f>
        <v>2382.8000000000002</v>
      </c>
      <c r="J3" s="10">
        <f>AVERAGE('MDO AGROGANADERO'!L55:L59)</f>
        <v>3.0026392879137735</v>
      </c>
      <c r="K3" s="10">
        <f>AVERAGE('MDO AGROGANADERO'!M55:M59)</f>
        <v>2.9458627890186744</v>
      </c>
      <c r="L3" s="10">
        <f>AVERAGE('MDO AGROGANADERO'!N55:N59)</f>
        <v>2.9730940870769667</v>
      </c>
      <c r="M3" s="10">
        <f>AVERAGE('MDO AGROGANADERO'!O55:O59)</f>
        <v>2.9502393721606177</v>
      </c>
      <c r="N3" s="10">
        <f>AVERAGE('MDO AGROGANADERO'!P55:P59)</f>
        <v>2.8123837943897825</v>
      </c>
    </row>
    <row r="4" spans="1:14" x14ac:dyDescent="0.3">
      <c r="A4" s="14">
        <v>46054</v>
      </c>
      <c r="B4" s="1">
        <f>AVERAGE('ccdh orden'!B59:H62)*0.585</f>
        <v>4690.4464285714284</v>
      </c>
      <c r="C4" s="1">
        <f>AVERAGE('ccdh orden'!I59:I62)</f>
        <v>6050</v>
      </c>
      <c r="D4" s="1">
        <f>AVERAGE('ccdh orden'!J59:J62)</f>
        <v>5450</v>
      </c>
      <c r="E4" s="1">
        <f>AVERAGE('MDO AGROGANADERO'!D60:D63)</f>
        <v>1137500</v>
      </c>
      <c r="F4" s="1">
        <f>AVERAGE('MDO AGROGANADERO'!B60:C63)</f>
        <v>4880.75</v>
      </c>
      <c r="G4" s="1">
        <f>AVERAGE('ccdh orden'!N59:N62)*0.5</f>
        <v>2800</v>
      </c>
      <c r="H4" s="1">
        <f>AVERAGE('ccdh orden'!O59:O62)*0.46</f>
        <v>2461</v>
      </c>
      <c r="J4" s="10">
        <f>AVERAGE('MDO AGROGANADERO'!L60:L63)</f>
        <v>3.4133374083510137</v>
      </c>
      <c r="K4" s="10">
        <f>AVERAGE('MDO AGROGANADERO'!M60:M63)</f>
        <v>3.293582590047389</v>
      </c>
      <c r="L4" s="10">
        <f>AVERAGE('MDO AGROGANADERO'!N60:N63)</f>
        <v>3.3160259207869092</v>
      </c>
      <c r="M4" s="10">
        <f>AVERAGE('MDO AGROGANADERO'!O60:O63)</f>
        <v>3.2995381819447451</v>
      </c>
      <c r="N4" s="10">
        <f>AVERAGE('MDO AGROGANADERO'!P60:P63)</f>
        <v>3.1692271245745873</v>
      </c>
    </row>
    <row r="5" spans="1:14" x14ac:dyDescent="0.3">
      <c r="A5" s="14">
        <v>46082</v>
      </c>
      <c r="B5" s="1">
        <f>AVERAGE('ccdh orden'!B63:H66)*0.585</f>
        <v>4759.3928571428569</v>
      </c>
      <c r="C5" s="1">
        <f>AVERAGE('ccdh orden'!I63:I66)</f>
        <v>6750</v>
      </c>
      <c r="D5" s="1">
        <f>AVERAGE('ccdh orden'!J67:J70)</f>
        <v>6150</v>
      </c>
      <c r="E5" s="1">
        <f>AVERAGE('MDO AGROGANADERO'!D64:D67)</f>
        <v>1137500</v>
      </c>
      <c r="F5" s="1">
        <f>AVERAGE('MDO AGROGANADERO'!B68:C71)</f>
        <v>4851.5</v>
      </c>
      <c r="G5" s="1">
        <f>AVERAGE('ccdh orden'!N63:N66)*0.5</f>
        <v>2925</v>
      </c>
      <c r="H5" s="1">
        <f>AVERAGE('ccdh orden'!O63:O66)*0.46</f>
        <v>2633.5</v>
      </c>
      <c r="J5" s="10">
        <f>AVERAGE('MDO AGROGANADERO'!L64:L67)</f>
        <v>3.3671369447490083</v>
      </c>
      <c r="K5" s="10">
        <f>AVERAGE('MDO AGROGANADERO'!M64:M67)</f>
        <v>3.3232137280005043</v>
      </c>
      <c r="L5" s="10">
        <f>AVERAGE('MDO AGROGANADERO'!N64:N67)</f>
        <v>3.3019265413764538</v>
      </c>
      <c r="M5" s="10">
        <f>AVERAGE('MDO AGROGANADERO'!O64:O67)</f>
        <v>3.2488717246215586</v>
      </c>
      <c r="N5" s="10">
        <f>AVERAGE('MDO AGROGANADERO'!P64:P67)</f>
        <v>3.0185088578349166</v>
      </c>
    </row>
    <row r="6" spans="1:14" x14ac:dyDescent="0.3">
      <c r="A6" s="14">
        <v>46113</v>
      </c>
      <c r="B6" s="1">
        <f>AVERAGE('ccdh orden'!B67:H70)*0.585</f>
        <v>4717.6071428571431</v>
      </c>
      <c r="C6" s="1">
        <f>AVERAGE('ccdh orden'!I67:I70)</f>
        <v>6650</v>
      </c>
      <c r="D6" s="1">
        <f>AVERAGE('ccdh orden'!J64:J67)</f>
        <v>6000</v>
      </c>
      <c r="E6" s="1">
        <f>AVERAGE('MDO AGROGANADERO'!D68:D71)</f>
        <v>1025000</v>
      </c>
      <c r="F6" s="1">
        <f>AVERAGE('MDO AGROGANADERO'!B65:C68)</f>
        <v>4745.75</v>
      </c>
      <c r="G6" s="1">
        <f>AVERAGE('ccdh orden'!N67:N70)*0.5</f>
        <v>2900</v>
      </c>
      <c r="H6" s="1">
        <f>AVERAGE('ccdh orden'!O67:O70)*0.46</f>
        <v>2564.5</v>
      </c>
      <c r="J6" s="10">
        <f>AVERAGE('MDO AGROGANADERO'!L68:L71)</f>
        <v>3.3408339645834775</v>
      </c>
      <c r="K6" s="10">
        <f>AVERAGE('MDO AGROGANADERO'!M68:M71)</f>
        <v>3.210625948419882</v>
      </c>
      <c r="L6" s="10">
        <f>AVERAGE('MDO AGROGANADERO'!N68:N71)</f>
        <v>3.1714996546157241</v>
      </c>
      <c r="M6" s="10">
        <f>AVERAGE('MDO AGROGANADERO'!O68:O71)</f>
        <v>3.1533011406882681</v>
      </c>
      <c r="N6" s="10">
        <f>AVERAGE('MDO AGROGANADERO'!P68:P71)</f>
        <v>3.0076124534129645</v>
      </c>
    </row>
    <row r="7" spans="1:14" x14ac:dyDescent="0.3">
      <c r="A7" s="14">
        <v>46143</v>
      </c>
      <c r="B7" s="1"/>
      <c r="C7" s="1"/>
      <c r="D7" s="1"/>
      <c r="E7" s="1"/>
      <c r="F7" s="1"/>
      <c r="G7" s="1"/>
      <c r="H7" s="1"/>
      <c r="J7" s="10">
        <f>AVERAGE('MDO AGROGANADERO'!L72:L76)</f>
        <v>3.2636612805170593</v>
      </c>
      <c r="K7" s="10">
        <f>AVERAGE('MDO AGROGANADERO'!M72:M76)</f>
        <v>3.192419776833173</v>
      </c>
      <c r="L7" s="10">
        <f>AVERAGE('MDO AGROGANADERO'!N72:N76)</f>
        <v>3.1412297327351162</v>
      </c>
      <c r="M7" s="10">
        <f>AVERAGE('MDO AGROGANADERO'!O72:O76)</f>
        <v>3.1012160931203439</v>
      </c>
      <c r="N7" s="10">
        <f>AVERAGE('MDO AGROGANADERO'!P72:P76)</f>
        <v>2.9656302545590556</v>
      </c>
    </row>
    <row r="8" spans="1:14" x14ac:dyDescent="0.3">
      <c r="A8" s="14">
        <v>46174</v>
      </c>
      <c r="B8" s="1"/>
      <c r="C8" s="1"/>
      <c r="D8" s="1"/>
      <c r="E8" s="1"/>
      <c r="F8" s="1"/>
      <c r="G8" s="1"/>
      <c r="H8" s="1"/>
      <c r="J8" s="10">
        <f>AVERAGE('MDO AGROGANADERO'!L77:L80)</f>
        <v>3.1081562317588896</v>
      </c>
      <c r="K8" s="10">
        <f>AVERAGE('MDO AGROGANADERO'!M77:M80)</f>
        <v>2.9947292527218297</v>
      </c>
      <c r="L8" s="10">
        <f>AVERAGE('MDO AGROGANADERO'!N77:N80)</f>
        <v>2.9577936047543769</v>
      </c>
      <c r="M8" s="10">
        <f>AVERAGE('MDO AGROGANADERO'!O77:O80)</f>
        <v>2.8812290641498119</v>
      </c>
      <c r="N8" s="10">
        <f>AVERAGE('MDO AGROGANADERO'!P77:P80)</f>
        <v>2.7985453742238158</v>
      </c>
    </row>
    <row r="9" spans="1:14" x14ac:dyDescent="0.3">
      <c r="A9" s="14">
        <v>46204</v>
      </c>
      <c r="B9" s="1"/>
      <c r="C9" s="1"/>
      <c r="D9" s="1"/>
      <c r="E9" s="1"/>
      <c r="F9" s="1"/>
      <c r="G9" s="1"/>
      <c r="H9" s="1"/>
    </row>
    <row r="10" spans="1:14" x14ac:dyDescent="0.3">
      <c r="A10" s="14">
        <v>46235</v>
      </c>
      <c r="B10" s="1"/>
      <c r="C10" s="1"/>
      <c r="D10" s="1"/>
      <c r="E10" s="1"/>
      <c r="F10" s="1"/>
      <c r="G10" s="1"/>
      <c r="H10" s="1"/>
    </row>
    <row r="11" spans="1:14" x14ac:dyDescent="0.3">
      <c r="A11" s="14">
        <v>46266</v>
      </c>
      <c r="B11" s="1"/>
      <c r="C11" s="1"/>
      <c r="D11" s="1"/>
      <c r="E11" s="1"/>
      <c r="F11" s="1"/>
      <c r="G11" s="1"/>
      <c r="H11" s="1"/>
    </row>
    <row r="22" spans="1:1" x14ac:dyDescent="0.3">
      <c r="A22" t="s">
        <v>32</v>
      </c>
    </row>
    <row r="23" spans="1:1" x14ac:dyDescent="0.3">
      <c r="A23" t="s">
        <v>33</v>
      </c>
    </row>
    <row r="24" spans="1:1" x14ac:dyDescent="0.3">
      <c r="A24" t="s">
        <v>34</v>
      </c>
    </row>
  </sheetData>
  <mergeCells count="2">
    <mergeCell ref="J1:N1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ccdh orden</vt:lpstr>
      <vt:lpstr>MDO AGROGANADERO</vt:lpstr>
      <vt:lpstr>PROMEDIOS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Scarano</dc:creator>
  <cp:lastModifiedBy>Agustina Scarano</cp:lastModifiedBy>
  <dcterms:created xsi:type="dcterms:W3CDTF">2026-04-17T18:06:00Z</dcterms:created>
  <dcterms:modified xsi:type="dcterms:W3CDTF">2026-07-08T19:54:01Z</dcterms:modified>
</cp:coreProperties>
</file>