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carano\Dropbox\Estadística\Estadísticas\Informes Eugenia\Datos\2026\Faena\"/>
    </mc:Choice>
  </mc:AlternateContent>
  <xr:revisionPtr revIDLastSave="0" documentId="13_ncr:1_{CE2C40F5-D2AB-43C0-A8A3-B61B9B6BB1AD}" xr6:coauthVersionLast="47" xr6:coauthVersionMax="47" xr10:uidLastSave="{00000000-0000-0000-0000-000000000000}"/>
  <bookViews>
    <workbookView xWindow="-108" yWindow="-108" windowWidth="23256" windowHeight="12456" activeTab="2" xr2:uid="{90108B49-F715-4288-BB16-0A2E324DC641}"/>
  </bookViews>
  <sheets>
    <sheet name="ccdh orden" sheetId="3" r:id="rId1"/>
    <sheet name="MDO AGROGANADERO" sheetId="2" r:id="rId2"/>
    <sheet name="PROMEDIOS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4" l="1"/>
  <c r="H3" i="4"/>
  <c r="H2" i="4"/>
  <c r="G4" i="4"/>
  <c r="G3" i="4"/>
  <c r="G2" i="4"/>
  <c r="F4" i="4"/>
  <c r="F3" i="4"/>
  <c r="F2" i="4"/>
  <c r="E4" i="4"/>
  <c r="E3" i="4"/>
  <c r="E2" i="4"/>
  <c r="D4" i="4"/>
  <c r="D3" i="4"/>
  <c r="D2" i="4"/>
  <c r="C4" i="4"/>
  <c r="C3" i="4"/>
  <c r="C2" i="4"/>
  <c r="B4" i="4"/>
  <c r="B3" i="4"/>
  <c r="B2" i="4"/>
  <c r="Q3" i="2"/>
  <c r="P3" i="2"/>
  <c r="N3" i="2"/>
  <c r="O3" i="2"/>
  <c r="M3" i="2"/>
  <c r="M19" i="2"/>
  <c r="N19" i="2"/>
  <c r="O19" i="2"/>
  <c r="P19" i="2"/>
  <c r="Q19" i="2"/>
  <c r="M18" i="2"/>
  <c r="N18" i="2"/>
  <c r="O18" i="2"/>
  <c r="P18" i="2"/>
  <c r="Q18" i="2"/>
  <c r="D19" i="2"/>
  <c r="C19" i="2"/>
  <c r="B19" i="2"/>
  <c r="D18" i="2"/>
  <c r="C18" i="2"/>
  <c r="B18" i="2"/>
  <c r="B37" i="3"/>
  <c r="C37" i="3"/>
  <c r="D37" i="3"/>
  <c r="E37" i="3"/>
  <c r="F37" i="3"/>
  <c r="G37" i="3"/>
  <c r="H37" i="3"/>
  <c r="B38" i="3"/>
  <c r="C38" i="3"/>
  <c r="D38" i="3"/>
  <c r="E38" i="3"/>
  <c r="F38" i="3"/>
  <c r="G38" i="3"/>
  <c r="H38" i="3"/>
  <c r="B39" i="3"/>
  <c r="C39" i="3"/>
  <c r="D39" i="3"/>
  <c r="E39" i="3"/>
  <c r="F39" i="3"/>
  <c r="G39" i="3"/>
  <c r="H39" i="3"/>
  <c r="B40" i="3"/>
  <c r="C40" i="3"/>
  <c r="D40" i="3"/>
  <c r="E40" i="3"/>
  <c r="F40" i="3"/>
  <c r="G40" i="3"/>
  <c r="H40" i="3"/>
  <c r="B41" i="3"/>
  <c r="C41" i="3"/>
  <c r="D41" i="3"/>
  <c r="E41" i="3"/>
  <c r="F41" i="3"/>
  <c r="G41" i="3"/>
  <c r="H41" i="3"/>
  <c r="Q17" i="2"/>
  <c r="P17" i="2"/>
  <c r="O17" i="2"/>
  <c r="N17" i="2"/>
  <c r="M17" i="2"/>
  <c r="Q5" i="2"/>
  <c r="Q6" i="2"/>
  <c r="Q7" i="2"/>
  <c r="Q8" i="2"/>
  <c r="Q9" i="2"/>
  <c r="Q10" i="2"/>
  <c r="Q11" i="2"/>
  <c r="Q12" i="2"/>
  <c r="Q13" i="2"/>
  <c r="Q14" i="2"/>
  <c r="Q15" i="2"/>
  <c r="Q16" i="2"/>
  <c r="P5" i="2"/>
  <c r="P6" i="2"/>
  <c r="P7" i="2"/>
  <c r="P8" i="2"/>
  <c r="P9" i="2"/>
  <c r="P10" i="2"/>
  <c r="P11" i="2"/>
  <c r="P12" i="2"/>
  <c r="P13" i="2"/>
  <c r="P14" i="2"/>
  <c r="P15" i="2"/>
  <c r="P16" i="2"/>
  <c r="O5" i="2"/>
  <c r="O6" i="2"/>
  <c r="O7" i="2"/>
  <c r="O8" i="2"/>
  <c r="O9" i="2"/>
  <c r="O10" i="2"/>
  <c r="O11" i="2"/>
  <c r="O12" i="2"/>
  <c r="O13" i="2"/>
  <c r="O14" i="2"/>
  <c r="O15" i="2"/>
  <c r="O16" i="2"/>
  <c r="N5" i="2"/>
  <c r="N6" i="2"/>
  <c r="N7" i="2"/>
  <c r="N8" i="2"/>
  <c r="N9" i="2"/>
  <c r="N10" i="2"/>
  <c r="N11" i="2"/>
  <c r="N12" i="2"/>
  <c r="N13" i="2"/>
  <c r="N14" i="2"/>
  <c r="N15" i="2"/>
  <c r="N16" i="2"/>
  <c r="M5" i="2"/>
  <c r="M6" i="2"/>
  <c r="M7" i="2"/>
  <c r="M8" i="2"/>
  <c r="M9" i="2"/>
  <c r="M10" i="2"/>
  <c r="M11" i="2"/>
  <c r="M12" i="2"/>
  <c r="M13" i="2"/>
  <c r="M14" i="2"/>
  <c r="M15" i="2"/>
  <c r="M16" i="2"/>
  <c r="Q4" i="2"/>
  <c r="P4" i="2"/>
  <c r="O4" i="2"/>
  <c r="N4" i="2"/>
  <c r="M4" i="2"/>
  <c r="D7" i="2" l="1"/>
  <c r="C7" i="2"/>
  <c r="B7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D11" i="2"/>
  <c r="C11" i="2"/>
  <c r="B11" i="2"/>
  <c r="D10" i="2"/>
  <c r="C10" i="2"/>
  <c r="B10" i="2"/>
  <c r="D9" i="2"/>
  <c r="C9" i="2"/>
  <c r="B9" i="2"/>
  <c r="D8" i="2"/>
  <c r="C8" i="2"/>
  <c r="B8" i="2"/>
  <c r="D6" i="2"/>
  <c r="C6" i="2"/>
  <c r="B6" i="2"/>
  <c r="D5" i="2"/>
  <c r="C5" i="2"/>
  <c r="B5" i="2"/>
  <c r="D4" i="2"/>
  <c r="C4" i="2"/>
  <c r="B4" i="2"/>
  <c r="D3" i="2"/>
  <c r="C3" i="2"/>
  <c r="B3" i="2"/>
</calcChain>
</file>

<file path=xl/sharedStrings.xml><?xml version="1.0" encoding="utf-8"?>
<sst xmlns="http://schemas.openxmlformats.org/spreadsheetml/2006/main" count="56" uniqueCount="45">
  <si>
    <t xml:space="preserve">M 440-460 </t>
  </si>
  <si>
    <t xml:space="preserve">M 460-490 </t>
  </si>
  <si>
    <t xml:space="preserve">M 490+ </t>
  </si>
  <si>
    <t>C 440-460</t>
  </si>
  <si>
    <t>C 460-490</t>
  </si>
  <si>
    <t>C 490+</t>
  </si>
  <si>
    <t>Overo Negro</t>
  </si>
  <si>
    <t>Vaquillona -350 (270-390)*</t>
  </si>
  <si>
    <t>Ternero Mestizo  INVERNADA (160 - 180 kg)</t>
  </si>
  <si>
    <t>Ternera Cruza (160 - 180 g)</t>
  </si>
  <si>
    <t>Vaca c/cría usada  (Julio)</t>
  </si>
  <si>
    <t>Indice NOV</t>
  </si>
  <si>
    <t>Indice Ternero Campo</t>
  </si>
  <si>
    <t>Vaca Corte (vaca Unión Europea)</t>
  </si>
  <si>
    <t>Vaca Manuf</t>
  </si>
  <si>
    <t>Vaca Conserva</t>
  </si>
  <si>
    <t>Consumo liviano</t>
  </si>
  <si>
    <t xml:space="preserve">Vaca Conserva </t>
  </si>
  <si>
    <t>agregar precios internacionales de mdo agroganadero</t>
  </si>
  <si>
    <t>GANCHO</t>
  </si>
  <si>
    <t xml:space="preserve">Marzo </t>
  </si>
  <si>
    <t>Semana 1</t>
  </si>
  <si>
    <t>Semana 2</t>
  </si>
  <si>
    <t>Semana 3</t>
  </si>
  <si>
    <t>Semana 4</t>
  </si>
  <si>
    <t>NOVILLITOS EyB P. 391/430</t>
  </si>
  <si>
    <t>NOVILLOS Mest.EyB 431/460</t>
  </si>
  <si>
    <t>NOVILLOS Mest.EyB 461/490</t>
  </si>
  <si>
    <t>NOVILLOS Mest.EyB 491/520</t>
  </si>
  <si>
    <t>NOVILLOS Mest.EyB + 520</t>
  </si>
  <si>
    <t>TC</t>
  </si>
  <si>
    <t>Novillito 391/430</t>
  </si>
  <si>
    <t>NOVILLOS 431/460</t>
  </si>
  <si>
    <t>NOVILLOS 461/490</t>
  </si>
  <si>
    <t>NOVILLOS 491/520</t>
  </si>
  <si>
    <t>NOVILLOS + 520</t>
  </si>
  <si>
    <t xml:space="preserve">TC </t>
  </si>
  <si>
    <t>Novillito 391/430 (-400) gancho</t>
  </si>
  <si>
    <t>Novillito -300/390 (-350) gancho</t>
  </si>
  <si>
    <t xml:space="preserve">PIE EN PESOS </t>
  </si>
  <si>
    <t xml:space="preserve">PIE EN DÓLARES </t>
  </si>
  <si>
    <t xml:space="preserve">Ternero AA </t>
  </si>
  <si>
    <t xml:space="preserve">Ternera Cruza </t>
  </si>
  <si>
    <t>Vaca con cría</t>
  </si>
  <si>
    <t xml:space="preserve">Novillo Exp.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</si>
</sst>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7">
    <xf numFmtId="0" fontId="0" fillId="0" borderId="0" xfId="0"/>
    <xf numFmtId="43" fontId="0" fillId="0" borderId="0" xfId="1" applyFont="1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  <xf numFmtId="43" fontId="0" fillId="0" borderId="1" xfId="1" applyFont="1" applyFill="1" applyBorder="1"/>
    <xf numFmtId="164" fontId="0" fillId="0" borderId="2" xfId="1" applyNumberFormat="1" applyFont="1" applyBorder="1"/>
    <xf numFmtId="0" fontId="3" fillId="0" borderId="0" xfId="0" applyFont="1"/>
    <xf numFmtId="43" fontId="0" fillId="0" borderId="0" xfId="1" applyFont="1" applyFill="1" applyBorder="1"/>
    <xf numFmtId="0" fontId="2" fillId="0" borderId="0" xfId="0" applyFont="1" applyAlignment="1">
      <alignment horizontal="center"/>
    </xf>
    <xf numFmtId="43" fontId="0" fillId="0" borderId="0" xfId="0" applyNumberFormat="1"/>
    <xf numFmtId="0" fontId="4" fillId="0" borderId="0" xfId="0" applyFont="1" applyAlignment="1">
      <alignment horizontal="center"/>
    </xf>
    <xf numFmtId="164" fontId="0" fillId="0" borderId="3" xfId="1" applyNumberFormat="1" applyFont="1" applyFill="1" applyBorder="1"/>
    <xf numFmtId="164" fontId="0" fillId="0" borderId="4" xfId="1" applyNumberFormat="1" applyFont="1" applyFill="1" applyBorder="1"/>
    <xf numFmtId="0" fontId="0" fillId="0" borderId="5" xfId="0" applyBorder="1" applyAlignment="1">
      <alignment vertical="distributed"/>
    </xf>
    <xf numFmtId="17" fontId="0" fillId="0" borderId="0" xfId="0" applyNumberFormat="1"/>
  </cellXfs>
  <cellStyles count="3">
    <cellStyle name="Millares" xfId="1" builtinId="3"/>
    <cellStyle name="Normal" xfId="0" builtinId="0"/>
    <cellStyle name="Normal 2" xfId="2" xr:uid="{A4ED9C85-43D2-4984-88A7-604289DF13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47B86-CD1D-4F30-9E53-9DC423BA03BA}">
  <dimension ref="A4:O41"/>
  <sheetViews>
    <sheetView workbookViewId="0">
      <selection activeCell="O22" sqref="O22"/>
    </sheetView>
  </sheetViews>
  <sheetFormatPr baseColWidth="10" defaultRowHeight="14.4" x14ac:dyDescent="0.3"/>
  <cols>
    <col min="1" max="1" width="11.6640625" style="2" customWidth="1"/>
    <col min="5" max="5" width="12.88671875" bestFit="1" customWidth="1"/>
    <col min="15" max="15" width="13.44140625" customWidth="1"/>
  </cols>
  <sheetData>
    <row r="4" spans="1:15" x14ac:dyDescent="0.3">
      <c r="A4" s="4"/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8</v>
      </c>
      <c r="J4" s="3" t="s">
        <v>9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</row>
    <row r="5" spans="1:15" x14ac:dyDescent="0.3">
      <c r="A5" s="4">
        <v>46024</v>
      </c>
      <c r="B5" s="5">
        <v>7000</v>
      </c>
      <c r="C5" s="5">
        <v>7800</v>
      </c>
      <c r="D5" s="5">
        <v>7800</v>
      </c>
      <c r="E5" s="5">
        <v>6800</v>
      </c>
      <c r="F5" s="5">
        <v>7600</v>
      </c>
      <c r="G5" s="5">
        <v>7600</v>
      </c>
      <c r="H5" s="5">
        <v>7200</v>
      </c>
      <c r="I5" s="5">
        <v>6000</v>
      </c>
      <c r="J5" s="5">
        <v>5000</v>
      </c>
      <c r="K5" s="5">
        <v>7295</v>
      </c>
      <c r="L5" s="5">
        <v>5162.5</v>
      </c>
      <c r="M5" s="5">
        <v>6500</v>
      </c>
      <c r="N5" s="5">
        <v>5400</v>
      </c>
      <c r="O5" s="5">
        <v>5000</v>
      </c>
    </row>
    <row r="6" spans="1:15" x14ac:dyDescent="0.3">
      <c r="A6" s="4">
        <v>46031</v>
      </c>
      <c r="B6" s="5">
        <v>7000</v>
      </c>
      <c r="C6" s="5">
        <v>7800</v>
      </c>
      <c r="D6" s="5">
        <v>7800</v>
      </c>
      <c r="E6" s="5">
        <v>6800</v>
      </c>
      <c r="F6" s="5">
        <v>7600</v>
      </c>
      <c r="G6" s="5">
        <v>7600</v>
      </c>
      <c r="H6" s="5">
        <v>7200</v>
      </c>
      <c r="I6" s="5">
        <v>6000</v>
      </c>
      <c r="J6" s="5">
        <v>5000</v>
      </c>
      <c r="K6" s="5">
        <v>7305</v>
      </c>
      <c r="L6" s="5">
        <v>5162.5</v>
      </c>
      <c r="M6" s="5">
        <v>6500</v>
      </c>
      <c r="N6" s="5">
        <v>5500</v>
      </c>
      <c r="O6" s="5">
        <v>5200</v>
      </c>
    </row>
    <row r="7" spans="1:15" x14ac:dyDescent="0.3">
      <c r="A7" s="4">
        <v>46038</v>
      </c>
      <c r="B7" s="5">
        <v>7000</v>
      </c>
      <c r="C7" s="5">
        <v>7800</v>
      </c>
      <c r="D7" s="5">
        <v>7800</v>
      </c>
      <c r="E7" s="5">
        <v>6800</v>
      </c>
      <c r="F7" s="5">
        <v>7600</v>
      </c>
      <c r="G7" s="5">
        <v>7600</v>
      </c>
      <c r="H7" s="5">
        <v>7200</v>
      </c>
      <c r="I7" s="5">
        <v>5600</v>
      </c>
      <c r="J7" s="5">
        <v>4800</v>
      </c>
      <c r="K7" s="5">
        <v>7305</v>
      </c>
      <c r="L7" s="5">
        <v>4975</v>
      </c>
      <c r="M7" s="5">
        <v>6500</v>
      </c>
      <c r="N7" s="5">
        <v>5500</v>
      </c>
      <c r="O7" s="5">
        <v>5200</v>
      </c>
    </row>
    <row r="8" spans="1:15" x14ac:dyDescent="0.3">
      <c r="A8" s="4">
        <v>46045</v>
      </c>
      <c r="B8" s="5">
        <v>7000</v>
      </c>
      <c r="C8" s="5">
        <v>7900</v>
      </c>
      <c r="D8" s="5">
        <v>7900</v>
      </c>
      <c r="E8" s="5">
        <v>6800</v>
      </c>
      <c r="F8" s="5">
        <v>7700</v>
      </c>
      <c r="G8" s="5">
        <v>7700</v>
      </c>
      <c r="H8" s="5">
        <v>7300</v>
      </c>
      <c r="I8" s="5">
        <v>5600</v>
      </c>
      <c r="J8" s="5">
        <v>4800</v>
      </c>
      <c r="K8" s="5">
        <v>7375</v>
      </c>
      <c r="L8" s="5">
        <v>4975</v>
      </c>
      <c r="M8" s="5">
        <v>6700</v>
      </c>
      <c r="N8" s="5">
        <v>5500</v>
      </c>
      <c r="O8" s="5">
        <v>5200</v>
      </c>
    </row>
    <row r="9" spans="1:15" x14ac:dyDescent="0.3">
      <c r="A9" s="4">
        <v>46052</v>
      </c>
      <c r="B9" s="5">
        <v>7400</v>
      </c>
      <c r="C9" s="5">
        <v>8150</v>
      </c>
      <c r="D9" s="5">
        <v>8150</v>
      </c>
      <c r="E9" s="5">
        <v>7200</v>
      </c>
      <c r="F9" s="5">
        <v>8000</v>
      </c>
      <c r="G9" s="5">
        <v>8000</v>
      </c>
      <c r="H9" s="5">
        <v>7600</v>
      </c>
      <c r="I9" s="5">
        <v>5600</v>
      </c>
      <c r="J9" s="5">
        <v>4800</v>
      </c>
      <c r="K9" s="5">
        <v>7650</v>
      </c>
      <c r="L9" s="5">
        <v>4975</v>
      </c>
      <c r="M9" s="5">
        <v>6700</v>
      </c>
      <c r="N9" s="5">
        <v>5600</v>
      </c>
      <c r="O9" s="5">
        <v>5300</v>
      </c>
    </row>
    <row r="10" spans="1:15" x14ac:dyDescent="0.3">
      <c r="A10" s="4">
        <v>46059</v>
      </c>
      <c r="B10" s="5">
        <v>7300</v>
      </c>
      <c r="C10" s="5">
        <v>8250</v>
      </c>
      <c r="D10" s="5">
        <v>8250</v>
      </c>
      <c r="E10" s="5">
        <v>7000</v>
      </c>
      <c r="F10" s="5">
        <v>8100</v>
      </c>
      <c r="G10" s="5">
        <v>8100</v>
      </c>
      <c r="H10" s="5">
        <v>7700</v>
      </c>
      <c r="I10" s="5">
        <v>5800</v>
      </c>
      <c r="J10" s="5">
        <v>5000</v>
      </c>
      <c r="K10" s="5">
        <v>7615</v>
      </c>
      <c r="L10" s="5">
        <v>5175</v>
      </c>
      <c r="M10" s="5">
        <v>6800</v>
      </c>
      <c r="N10" s="5">
        <v>5600</v>
      </c>
      <c r="O10" s="5">
        <v>5300</v>
      </c>
    </row>
    <row r="11" spans="1:15" x14ac:dyDescent="0.3">
      <c r="A11" s="4">
        <v>46066</v>
      </c>
      <c r="B11" s="5">
        <v>7800</v>
      </c>
      <c r="C11" s="5">
        <v>8350</v>
      </c>
      <c r="D11" s="5">
        <v>8350</v>
      </c>
      <c r="E11" s="5">
        <v>7100</v>
      </c>
      <c r="F11" s="5">
        <v>8200</v>
      </c>
      <c r="G11" s="5">
        <v>8200</v>
      </c>
      <c r="H11" s="5">
        <v>7800</v>
      </c>
      <c r="I11" s="5">
        <v>6100</v>
      </c>
      <c r="J11" s="5">
        <v>5500</v>
      </c>
      <c r="K11" s="5">
        <v>7850</v>
      </c>
      <c r="L11" s="5">
        <v>5600</v>
      </c>
      <c r="M11" s="5">
        <v>6300</v>
      </c>
      <c r="N11" s="5">
        <v>5600</v>
      </c>
      <c r="O11" s="5">
        <v>5300</v>
      </c>
    </row>
    <row r="12" spans="1:15" x14ac:dyDescent="0.3">
      <c r="A12" s="4">
        <v>46073</v>
      </c>
      <c r="B12" s="5">
        <v>8000</v>
      </c>
      <c r="C12" s="5">
        <v>8300</v>
      </c>
      <c r="D12" s="5">
        <v>8300</v>
      </c>
      <c r="E12" s="5">
        <v>8000</v>
      </c>
      <c r="F12" s="5">
        <v>8100</v>
      </c>
      <c r="G12" s="5">
        <v>8100</v>
      </c>
      <c r="H12" s="5">
        <v>7800</v>
      </c>
      <c r="I12" s="5">
        <v>6100</v>
      </c>
      <c r="J12" s="5">
        <v>5800</v>
      </c>
      <c r="K12" s="5">
        <v>8155</v>
      </c>
      <c r="L12" s="5">
        <v>5900</v>
      </c>
      <c r="M12" s="5">
        <v>6800</v>
      </c>
      <c r="N12" s="5">
        <v>5600</v>
      </c>
      <c r="O12" s="5">
        <v>5400</v>
      </c>
    </row>
    <row r="13" spans="1:15" x14ac:dyDescent="0.3">
      <c r="A13" s="4">
        <v>46080</v>
      </c>
      <c r="B13" s="5">
        <v>8000</v>
      </c>
      <c r="C13" s="5">
        <v>8400</v>
      </c>
      <c r="D13" s="5">
        <v>8400</v>
      </c>
      <c r="E13" s="5">
        <v>8000</v>
      </c>
      <c r="F13" s="5">
        <v>8300</v>
      </c>
      <c r="G13" s="5">
        <v>8300</v>
      </c>
      <c r="H13" s="5">
        <v>8000</v>
      </c>
      <c r="I13" s="5">
        <v>6200</v>
      </c>
      <c r="J13" s="5">
        <v>5500</v>
      </c>
      <c r="K13" s="5">
        <v>8215</v>
      </c>
      <c r="L13" s="5">
        <v>6050</v>
      </c>
      <c r="M13" s="5">
        <v>6800</v>
      </c>
      <c r="N13" s="5">
        <v>5600</v>
      </c>
      <c r="O13" s="5">
        <v>5400</v>
      </c>
    </row>
    <row r="14" spans="1:15" x14ac:dyDescent="0.3">
      <c r="A14" s="4">
        <v>46087</v>
      </c>
      <c r="B14" s="5">
        <v>8100</v>
      </c>
      <c r="C14" s="5">
        <v>8400</v>
      </c>
      <c r="D14" s="5">
        <v>8400</v>
      </c>
      <c r="E14" s="5">
        <v>8100</v>
      </c>
      <c r="F14" s="5">
        <v>8200</v>
      </c>
      <c r="G14" s="5">
        <v>8200</v>
      </c>
      <c r="H14" s="5">
        <v>8000</v>
      </c>
      <c r="I14" s="5">
        <v>6600</v>
      </c>
      <c r="J14" s="5">
        <v>6000</v>
      </c>
      <c r="K14" s="5">
        <v>8240</v>
      </c>
      <c r="L14" s="5">
        <v>6050</v>
      </c>
      <c r="M14" s="5">
        <v>6800</v>
      </c>
      <c r="N14" s="5">
        <v>6000</v>
      </c>
      <c r="O14" s="5">
        <v>5800</v>
      </c>
    </row>
    <row r="15" spans="1:15" x14ac:dyDescent="0.3">
      <c r="A15" s="4">
        <v>46094</v>
      </c>
      <c r="B15" s="5">
        <v>8100</v>
      </c>
      <c r="C15" s="5">
        <v>8400</v>
      </c>
      <c r="D15" s="5">
        <v>8400</v>
      </c>
      <c r="E15" s="5">
        <v>8100</v>
      </c>
      <c r="F15" s="5">
        <v>8200</v>
      </c>
      <c r="G15" s="5">
        <v>8200</v>
      </c>
      <c r="H15" s="5">
        <v>8000</v>
      </c>
      <c r="I15" s="5">
        <v>6800</v>
      </c>
      <c r="J15" s="5">
        <v>6000</v>
      </c>
      <c r="K15" s="5">
        <v>8240</v>
      </c>
      <c r="L15" s="5">
        <v>6050</v>
      </c>
      <c r="M15" s="5">
        <v>6800</v>
      </c>
      <c r="N15" s="5">
        <v>5800</v>
      </c>
      <c r="O15" s="5">
        <v>5500</v>
      </c>
    </row>
    <row r="16" spans="1:15" x14ac:dyDescent="0.3">
      <c r="A16" s="4">
        <v>46101</v>
      </c>
      <c r="B16" s="5">
        <v>8200</v>
      </c>
      <c r="C16" s="5">
        <v>8200</v>
      </c>
      <c r="D16" s="5">
        <v>8200</v>
      </c>
      <c r="E16" s="5">
        <v>8100</v>
      </c>
      <c r="F16" s="5">
        <v>8000</v>
      </c>
      <c r="G16" s="5">
        <v>8000</v>
      </c>
      <c r="H16" s="5">
        <v>7800</v>
      </c>
      <c r="I16" s="5">
        <v>6800</v>
      </c>
      <c r="J16" s="5">
        <v>6000</v>
      </c>
      <c r="K16" s="5">
        <v>8170</v>
      </c>
      <c r="L16" s="5">
        <v>6150</v>
      </c>
      <c r="M16" s="5">
        <v>6800</v>
      </c>
      <c r="N16" s="5">
        <v>5800</v>
      </c>
      <c r="O16" s="5">
        <v>5800</v>
      </c>
    </row>
    <row r="17" spans="1:15" x14ac:dyDescent="0.3">
      <c r="A17" s="4">
        <v>46108</v>
      </c>
      <c r="B17" s="7">
        <v>8200</v>
      </c>
      <c r="C17" s="5">
        <v>8200</v>
      </c>
      <c r="D17" s="5">
        <v>8200</v>
      </c>
      <c r="E17" s="5">
        <v>8100</v>
      </c>
      <c r="F17" s="5">
        <v>8000</v>
      </c>
      <c r="G17" s="5">
        <v>8000</v>
      </c>
      <c r="H17" s="5">
        <v>7800</v>
      </c>
      <c r="I17" s="5">
        <v>6800</v>
      </c>
      <c r="J17" s="5">
        <v>6000</v>
      </c>
      <c r="K17" s="5">
        <v>8170</v>
      </c>
      <c r="L17" s="5">
        <v>6150</v>
      </c>
      <c r="M17" s="5">
        <v>6800</v>
      </c>
      <c r="N17" s="5">
        <v>5800</v>
      </c>
      <c r="O17" s="5">
        <v>5800</v>
      </c>
    </row>
    <row r="18" spans="1:15" x14ac:dyDescent="0.3">
      <c r="A18" s="4">
        <v>46115</v>
      </c>
      <c r="B18" s="7">
        <v>8200</v>
      </c>
      <c r="C18" s="5">
        <v>8100</v>
      </c>
      <c r="D18" s="5">
        <v>8100</v>
      </c>
      <c r="E18" s="5">
        <v>8100</v>
      </c>
      <c r="F18" s="5">
        <v>7900</v>
      </c>
      <c r="G18" s="5">
        <v>7900</v>
      </c>
      <c r="H18" s="5">
        <v>7700</v>
      </c>
      <c r="I18" s="5">
        <v>6800</v>
      </c>
      <c r="J18" s="5">
        <v>6000</v>
      </c>
      <c r="K18" s="5">
        <v>8170</v>
      </c>
      <c r="L18" s="5">
        <v>6150</v>
      </c>
      <c r="M18" s="5">
        <v>6800</v>
      </c>
      <c r="N18" s="5">
        <v>5800</v>
      </c>
      <c r="O18" s="5">
        <v>5600</v>
      </c>
    </row>
    <row r="19" spans="1:15" x14ac:dyDescent="0.3">
      <c r="A19" s="4">
        <v>46122</v>
      </c>
      <c r="B19" s="7">
        <v>8200</v>
      </c>
      <c r="C19" s="5">
        <v>8200</v>
      </c>
      <c r="D19" s="5">
        <v>8200</v>
      </c>
      <c r="E19" s="5">
        <v>8100</v>
      </c>
      <c r="F19" s="5">
        <v>8000</v>
      </c>
      <c r="G19" s="5">
        <v>8000</v>
      </c>
      <c r="H19" s="5">
        <v>7700</v>
      </c>
      <c r="I19" s="5">
        <v>6600</v>
      </c>
      <c r="J19" s="5">
        <v>6200</v>
      </c>
      <c r="K19" s="5">
        <v>8190</v>
      </c>
      <c r="L19" s="5">
        <v>6175</v>
      </c>
      <c r="M19" s="5">
        <v>6800</v>
      </c>
      <c r="N19" s="5">
        <v>6000</v>
      </c>
      <c r="O19" s="5">
        <v>5800</v>
      </c>
    </row>
    <row r="20" spans="1:15" x14ac:dyDescent="0.3">
      <c r="A20" s="4">
        <v>46129</v>
      </c>
      <c r="B20" s="13">
        <v>8400</v>
      </c>
      <c r="C20" s="14">
        <v>8200</v>
      </c>
      <c r="D20" s="14">
        <v>8200</v>
      </c>
      <c r="E20" s="14">
        <v>8300</v>
      </c>
      <c r="F20" s="14">
        <v>8000</v>
      </c>
      <c r="G20" s="14">
        <v>8000</v>
      </c>
      <c r="H20" s="14">
        <v>7700</v>
      </c>
      <c r="I20" s="14">
        <v>6600</v>
      </c>
      <c r="J20" s="14">
        <v>6200</v>
      </c>
      <c r="K20" s="14">
        <v>8190</v>
      </c>
      <c r="L20" s="14">
        <v>6175</v>
      </c>
      <c r="M20" s="14">
        <v>6800</v>
      </c>
      <c r="N20" s="14">
        <v>5800</v>
      </c>
      <c r="O20" s="14">
        <v>5600</v>
      </c>
    </row>
    <row r="21" spans="1:15" x14ac:dyDescent="0.3">
      <c r="A21" s="4">
        <v>46136</v>
      </c>
      <c r="B21" s="13">
        <v>8300</v>
      </c>
      <c r="C21" s="14">
        <v>8200</v>
      </c>
      <c r="D21" s="14">
        <v>8200</v>
      </c>
      <c r="E21" s="14">
        <v>8200</v>
      </c>
      <c r="F21" s="14">
        <v>8000</v>
      </c>
      <c r="G21" s="14">
        <v>8000</v>
      </c>
      <c r="H21" s="14">
        <v>7700</v>
      </c>
      <c r="I21" s="14">
        <v>6600</v>
      </c>
      <c r="J21" s="14">
        <v>6200</v>
      </c>
      <c r="K21" s="14">
        <v>8095</v>
      </c>
      <c r="L21" s="14">
        <v>6175</v>
      </c>
      <c r="M21" s="14">
        <v>6900</v>
      </c>
      <c r="N21" s="14">
        <v>5600</v>
      </c>
      <c r="O21" s="14">
        <v>5300</v>
      </c>
    </row>
    <row r="22" spans="1:15" x14ac:dyDescent="0.3">
      <c r="A22" s="4">
        <v>46143</v>
      </c>
    </row>
    <row r="23" spans="1:15" x14ac:dyDescent="0.3">
      <c r="A23" s="4">
        <v>46150</v>
      </c>
    </row>
    <row r="24" spans="1:15" x14ac:dyDescent="0.3">
      <c r="A24" s="4">
        <v>46157</v>
      </c>
    </row>
    <row r="25" spans="1:15" x14ac:dyDescent="0.3">
      <c r="A25" s="4">
        <v>46164</v>
      </c>
    </row>
    <row r="27" spans="1:15" x14ac:dyDescent="0.3">
      <c r="A27" t="s">
        <v>18</v>
      </c>
    </row>
    <row r="30" spans="1:15" x14ac:dyDescent="0.3">
      <c r="A30" s="2" t="s">
        <v>20</v>
      </c>
      <c r="B30" t="s">
        <v>21</v>
      </c>
      <c r="C30" t="s">
        <v>22</v>
      </c>
      <c r="D30" t="s">
        <v>23</v>
      </c>
      <c r="E30" t="s">
        <v>24</v>
      </c>
    </row>
    <row r="31" spans="1:15" x14ac:dyDescent="0.3">
      <c r="A31" s="2" t="s">
        <v>25</v>
      </c>
      <c r="B31">
        <v>4848</v>
      </c>
      <c r="C31">
        <v>4709</v>
      </c>
      <c r="D31">
        <v>4649</v>
      </c>
      <c r="E31">
        <v>4572</v>
      </c>
    </row>
    <row r="32" spans="1:15" x14ac:dyDescent="0.3">
      <c r="A32" s="2" t="s">
        <v>26</v>
      </c>
      <c r="B32">
        <v>4670</v>
      </c>
      <c r="C32">
        <v>4699</v>
      </c>
      <c r="D32">
        <v>4620</v>
      </c>
      <c r="E32">
        <v>4542</v>
      </c>
    </row>
    <row r="33" spans="1:8" x14ac:dyDescent="0.3">
      <c r="A33" s="2" t="s">
        <v>27</v>
      </c>
      <c r="B33">
        <v>4683</v>
      </c>
      <c r="C33">
        <v>4608</v>
      </c>
      <c r="D33">
        <v>4694</v>
      </c>
      <c r="E33">
        <v>4429</v>
      </c>
    </row>
    <row r="34" spans="1:8" x14ac:dyDescent="0.3">
      <c r="A34" s="2" t="s">
        <v>28</v>
      </c>
      <c r="B34">
        <v>4556</v>
      </c>
      <c r="C34">
        <v>4606</v>
      </c>
      <c r="D34">
        <v>4569</v>
      </c>
      <c r="E34">
        <v>4386</v>
      </c>
    </row>
    <row r="35" spans="1:8" x14ac:dyDescent="0.3">
      <c r="A35" s="2" t="s">
        <v>29</v>
      </c>
      <c r="B35">
        <v>4426</v>
      </c>
      <c r="C35">
        <v>4189</v>
      </c>
      <c r="D35">
        <v>3968</v>
      </c>
      <c r="E35">
        <v>4250</v>
      </c>
      <c r="F35" t="s">
        <v>16</v>
      </c>
      <c r="G35" t="s">
        <v>14</v>
      </c>
      <c r="H35" t="s">
        <v>17</v>
      </c>
    </row>
    <row r="36" spans="1:8" x14ac:dyDescent="0.3">
      <c r="A36" s="2" t="s">
        <v>30</v>
      </c>
      <c r="B36">
        <v>1413.8217999999999</v>
      </c>
      <c r="C36">
        <v>1399.7</v>
      </c>
      <c r="D36">
        <v>1395.5</v>
      </c>
      <c r="E36">
        <v>1376</v>
      </c>
      <c r="F36" t="s">
        <v>19</v>
      </c>
      <c r="G36" t="s">
        <v>19</v>
      </c>
      <c r="H36" t="s">
        <v>19</v>
      </c>
    </row>
    <row r="37" spans="1:8" x14ac:dyDescent="0.3">
      <c r="A37" s="2">
        <v>46023</v>
      </c>
      <c r="B37" s="1">
        <f>AVERAGE(B5:H9)*0.585</f>
        <v>4382.4857142857145</v>
      </c>
      <c r="C37" s="1">
        <f>AVERAGE(I5:I9)</f>
        <v>5760</v>
      </c>
      <c r="D37" s="1">
        <f>AVERAGE(J5:J9)</f>
        <v>4880</v>
      </c>
      <c r="E37" s="1">
        <f>AVERAGE('MDO AGROGANADERO'!E3:E7)</f>
        <v>950000</v>
      </c>
      <c r="F37" s="1">
        <f>AVERAGE('MDO AGROGANADERO'!B3:D7)*0.57</f>
        <v>4328.1931634182911</v>
      </c>
      <c r="G37" s="1">
        <f>AVERAGE(N5:N9)*0.5</f>
        <v>2750</v>
      </c>
      <c r="H37" s="1">
        <f>AVERAGE(O5:O9)*0.46</f>
        <v>2382.8000000000002</v>
      </c>
    </row>
    <row r="38" spans="1:8" x14ac:dyDescent="0.3">
      <c r="A38" s="2">
        <v>46054</v>
      </c>
      <c r="B38" s="1">
        <f>AVERAGE(B10:H13)*0.585</f>
        <v>4690.4464285714284</v>
      </c>
      <c r="C38" s="1">
        <f>AVERAGE(I10:I13)</f>
        <v>6050</v>
      </c>
      <c r="D38" s="1">
        <f>AVERAGE(J10:J13)</f>
        <v>5450</v>
      </c>
      <c r="E38" s="1">
        <f>AVERAGE('MDO AGROGANADERO'!E8:E11)</f>
        <v>1137500</v>
      </c>
      <c r="F38" s="1">
        <f>AVERAGE('MDO AGROGANADERO'!B8:D11)*0.57</f>
        <v>4795.9055097451273</v>
      </c>
      <c r="G38" s="1">
        <f>AVERAGE(N10:N13)*0.5</f>
        <v>2800</v>
      </c>
      <c r="H38" s="1">
        <f>AVERAGE(O10:O13)*0.46</f>
        <v>2461</v>
      </c>
    </row>
    <row r="39" spans="1:8" x14ac:dyDescent="0.3">
      <c r="A39" s="2">
        <v>46082</v>
      </c>
      <c r="B39" s="1">
        <f>AVERAGE(B14:H17)*0.585</f>
        <v>4759.3928571428569</v>
      </c>
      <c r="C39" s="1">
        <f>AVERAGE(I14:I17)</f>
        <v>6750</v>
      </c>
      <c r="D39" s="1">
        <f>AVERAGE(J14:J17)</f>
        <v>6000</v>
      </c>
      <c r="E39" s="1">
        <f>AVERAGE('MDO AGROGANADERO'!E12:E15)</f>
        <v>1137500</v>
      </c>
      <c r="F39" s="1">
        <f>AVERAGE('MDO AGROGANADERO'!B12:D15)*0.57</f>
        <v>4815.5485044977504</v>
      </c>
      <c r="G39" s="1">
        <f>AVERAGE(N14:N17)*0.5</f>
        <v>2925</v>
      </c>
      <c r="H39" s="1">
        <f>AVERAGE(O14:O17)*0.56</f>
        <v>3206.0000000000005</v>
      </c>
    </row>
    <row r="40" spans="1:8" x14ac:dyDescent="0.3">
      <c r="B40" s="1" t="e">
        <f>AVERAGE('ccdh orden'!#REF!)*0.585</f>
        <v>#REF!</v>
      </c>
      <c r="C40" s="1" t="e">
        <f>AVERAGE('ccdh orden'!#REF!)</f>
        <v>#REF!</v>
      </c>
      <c r="D40" s="1" t="e">
        <f>AVERAGE('ccdh orden'!#REF!)</f>
        <v>#REF!</v>
      </c>
      <c r="E40" s="1" t="e">
        <f>AVERAGE('ccdh orden'!#REF!)</f>
        <v>#REF!</v>
      </c>
      <c r="F40" s="1" t="e">
        <f>AVERAGE('ccdh orden'!#REF!)*0.57</f>
        <v>#REF!</v>
      </c>
      <c r="G40" s="1" t="e">
        <f>AVERAGE('ccdh orden'!#REF!)*0.5</f>
        <v>#REF!</v>
      </c>
      <c r="H40" s="1" t="e">
        <f>AVERAGE('ccdh orden'!#REF!)*0.56</f>
        <v>#REF!</v>
      </c>
    </row>
    <row r="41" spans="1:8" x14ac:dyDescent="0.3">
      <c r="B41" s="1" t="e">
        <f>AVERAGE('ccdh orden'!#REF!)*0.585</f>
        <v>#REF!</v>
      </c>
      <c r="C41" s="1" t="e">
        <f>AVERAGE('ccdh orden'!#REF!)</f>
        <v>#REF!</v>
      </c>
      <c r="D41" s="1" t="e">
        <f>AVERAGE('ccdh orden'!#REF!)</f>
        <v>#REF!</v>
      </c>
      <c r="E41" s="1" t="e">
        <f>AVERAGE('ccdh orden'!#REF!)</f>
        <v>#REF!</v>
      </c>
      <c r="F41" s="1" t="e">
        <f>AVERAGE('ccdh orden'!#REF!)*0.57</f>
        <v>#REF!</v>
      </c>
      <c r="G41" s="1" t="e">
        <f>AVERAGE('ccdh orden'!#REF!)*0.5</f>
        <v>#REF!</v>
      </c>
      <c r="H41" s="1" t="e">
        <f>AVERAGE('ccdh orden'!#REF!)*0.56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D154-1CA2-410C-BEF4-E9F89CCA1A15}">
  <dimension ref="A1:Q23"/>
  <sheetViews>
    <sheetView zoomScale="93" zoomScaleNormal="93" workbookViewId="0">
      <selection activeCell="A20" sqref="A20"/>
    </sheetView>
  </sheetViews>
  <sheetFormatPr baseColWidth="10" defaultRowHeight="14.4" x14ac:dyDescent="0.3"/>
  <cols>
    <col min="1" max="1" width="26.109375" customWidth="1"/>
    <col min="2" max="2" width="14.88671875" customWidth="1"/>
    <col min="3" max="3" width="25.88671875" customWidth="1"/>
    <col min="4" max="4" width="25.33203125" customWidth="1"/>
    <col min="5" max="6" width="20.77734375" customWidth="1"/>
    <col min="7" max="7" width="18.21875" customWidth="1"/>
    <col min="8" max="8" width="16.44140625" customWidth="1"/>
    <col min="9" max="9" width="16.33203125" customWidth="1"/>
    <col min="10" max="10" width="13" customWidth="1"/>
    <col min="12" max="12" width="10.5546875" customWidth="1"/>
    <col min="13" max="13" width="17.88671875" customWidth="1"/>
    <col min="14" max="14" width="14.6640625" customWidth="1"/>
    <col min="15" max="15" width="16.5546875" customWidth="1"/>
    <col min="16" max="16" width="15.33203125" customWidth="1"/>
    <col min="17" max="17" width="16.21875" customWidth="1"/>
  </cols>
  <sheetData>
    <row r="1" spans="1:17" x14ac:dyDescent="0.3">
      <c r="F1" s="10" t="s">
        <v>39</v>
      </c>
      <c r="G1" s="10"/>
      <c r="H1" s="10"/>
      <c r="I1" s="10"/>
      <c r="J1" s="10"/>
      <c r="M1" s="12" t="s">
        <v>40</v>
      </c>
      <c r="N1" s="12"/>
      <c r="O1" s="12"/>
      <c r="P1" s="12"/>
      <c r="Q1" s="12"/>
    </row>
    <row r="2" spans="1:17" x14ac:dyDescent="0.3">
      <c r="A2" s="4"/>
      <c r="B2" t="s">
        <v>37</v>
      </c>
      <c r="C2" t="s">
        <v>38</v>
      </c>
      <c r="D2" t="s">
        <v>7</v>
      </c>
      <c r="E2" t="s">
        <v>10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L2" t="s">
        <v>36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</row>
    <row r="3" spans="1:17" x14ac:dyDescent="0.3">
      <c r="A3" s="4">
        <v>46024</v>
      </c>
      <c r="B3" s="6">
        <f>4427/0.58</f>
        <v>7632.7586206896558</v>
      </c>
      <c r="C3" s="6">
        <f>4444/0.575</f>
        <v>7728.6956521739139</v>
      </c>
      <c r="D3" s="6">
        <f>4429/0.575</f>
        <v>7702.6086956521749</v>
      </c>
      <c r="E3" s="6">
        <v>900000</v>
      </c>
      <c r="F3" s="9">
        <v>4427</v>
      </c>
      <c r="G3" s="9">
        <v>4258</v>
      </c>
      <c r="H3" s="9">
        <v>4390</v>
      </c>
      <c r="I3" s="9">
        <v>4011</v>
      </c>
      <c r="J3" s="9">
        <v>3933</v>
      </c>
      <c r="L3" s="9">
        <v>1469.61</v>
      </c>
      <c r="M3" s="11">
        <f>+F3/L3</f>
        <v>3.0123638244160018</v>
      </c>
      <c r="N3" s="11">
        <f>+G3/L3</f>
        <v>2.8973673287470829</v>
      </c>
      <c r="O3" s="11">
        <f>+H3/L3</f>
        <v>2.9871870768435165</v>
      </c>
      <c r="P3" s="11">
        <f>+I3/L3</f>
        <v>2.7292955273848167</v>
      </c>
      <c r="Q3" s="11">
        <f>+J3/L3</f>
        <v>2.6762202216914694</v>
      </c>
    </row>
    <row r="4" spans="1:17" x14ac:dyDescent="0.3">
      <c r="A4" s="4">
        <v>46031</v>
      </c>
      <c r="B4" s="6">
        <f>4294/0.58</f>
        <v>7403.4482758620697</v>
      </c>
      <c r="C4" s="6">
        <f>4457/0.575</f>
        <v>7751.3043478260879</v>
      </c>
      <c r="D4" s="6">
        <f>4270/0.575</f>
        <v>7426.0869565217399</v>
      </c>
      <c r="E4" s="6">
        <v>900000</v>
      </c>
      <c r="F4" s="9">
        <v>4294</v>
      </c>
      <c r="G4" s="9">
        <v>4274</v>
      </c>
      <c r="H4" s="9">
        <v>4282</v>
      </c>
      <c r="I4" s="9">
        <v>4183</v>
      </c>
      <c r="J4" s="9">
        <v>4213</v>
      </c>
      <c r="L4" s="9">
        <v>1466.4689000000001</v>
      </c>
      <c r="M4" s="11">
        <f>+F4/L4</f>
        <v>2.9281221033736204</v>
      </c>
      <c r="N4" s="11">
        <f>+G4/L4</f>
        <v>2.9144839007496168</v>
      </c>
      <c r="O4" s="11">
        <f>+H4/L4</f>
        <v>2.9199391817992182</v>
      </c>
      <c r="P4" s="11">
        <f>+I4/L4</f>
        <v>2.8524300788103996</v>
      </c>
      <c r="Q4" s="11">
        <f>+J4/L4</f>
        <v>2.8728873827464052</v>
      </c>
    </row>
    <row r="5" spans="1:17" x14ac:dyDescent="0.3">
      <c r="A5" s="4">
        <v>46038</v>
      </c>
      <c r="B5" s="6">
        <f>4253/0.58</f>
        <v>7332.7586206896558</v>
      </c>
      <c r="C5" s="6">
        <f>4395/0.575</f>
        <v>7643.4782608695659</v>
      </c>
      <c r="D5" s="6">
        <f>4260/0.575</f>
        <v>7408.6956521739139</v>
      </c>
      <c r="E5" s="6">
        <v>1000000</v>
      </c>
      <c r="F5" s="9">
        <v>4253</v>
      </c>
      <c r="G5" s="9">
        <v>4273</v>
      </c>
      <c r="H5" s="9">
        <v>4287</v>
      </c>
      <c r="I5" s="9">
        <v>4364</v>
      </c>
      <c r="J5" s="9">
        <v>3915</v>
      </c>
      <c r="L5" s="9">
        <v>1431.0550000000001</v>
      </c>
      <c r="M5" s="11">
        <f t="shared" ref="M5:M16" si="0">+F5/L5</f>
        <v>2.9719332939684358</v>
      </c>
      <c r="N5" s="11">
        <f t="shared" ref="N5:N16" si="1">+G5/L5</f>
        <v>2.985908997208353</v>
      </c>
      <c r="O5" s="11">
        <f t="shared" ref="O5:O16" si="2">+H5/L5</f>
        <v>2.9956919894762954</v>
      </c>
      <c r="P5" s="11">
        <f t="shared" ref="P5:P16" si="3">+I5/L5</f>
        <v>3.0494984469499773</v>
      </c>
      <c r="Q5" s="11">
        <f t="shared" ref="Q5:Q16" si="4">+J5/L5</f>
        <v>2.7357439092138316</v>
      </c>
    </row>
    <row r="6" spans="1:17" x14ac:dyDescent="0.3">
      <c r="A6" s="4">
        <v>46045</v>
      </c>
      <c r="B6" s="6">
        <f>4348/0.58</f>
        <v>7496.5517241379312</v>
      </c>
      <c r="C6" s="6">
        <f>4414/0.575</f>
        <v>7676.521739130435</v>
      </c>
      <c r="D6" s="6">
        <f>4307/0.575</f>
        <v>7490.434782608696</v>
      </c>
      <c r="E6" s="6">
        <v>1000000</v>
      </c>
      <c r="F6" s="9">
        <v>4348</v>
      </c>
      <c r="G6" s="9">
        <v>4251</v>
      </c>
      <c r="H6" s="9">
        <v>4253</v>
      </c>
      <c r="I6" s="9">
        <v>4228</v>
      </c>
      <c r="J6" s="9">
        <v>3989</v>
      </c>
      <c r="L6" s="9">
        <v>1433.1999000000001</v>
      </c>
      <c r="M6" s="11">
        <f t="shared" si="0"/>
        <v>3.0337707949881936</v>
      </c>
      <c r="N6" s="11">
        <f t="shared" si="1"/>
        <v>2.9660900757807753</v>
      </c>
      <c r="O6" s="11">
        <f t="shared" si="2"/>
        <v>2.96748555452732</v>
      </c>
      <c r="P6" s="11">
        <f t="shared" si="3"/>
        <v>2.9500420701955115</v>
      </c>
      <c r="Q6" s="11">
        <f t="shared" si="4"/>
        <v>2.7832823599834189</v>
      </c>
    </row>
    <row r="7" spans="1:17" x14ac:dyDescent="0.3">
      <c r="A7" s="4">
        <v>46052</v>
      </c>
      <c r="B7" s="6">
        <f>4440/0.58</f>
        <v>7655.1724137931042</v>
      </c>
      <c r="C7" s="6">
        <f>4581/0.575</f>
        <v>7966.9565217391309</v>
      </c>
      <c r="D7" s="6">
        <f>4361/0.575</f>
        <v>7584.347826086957</v>
      </c>
      <c r="E7" s="6">
        <v>950000</v>
      </c>
      <c r="F7" s="9">
        <v>4440</v>
      </c>
      <c r="G7" s="9">
        <v>4293</v>
      </c>
      <c r="H7" s="9">
        <v>4336</v>
      </c>
      <c r="I7" s="9">
        <v>4589</v>
      </c>
      <c r="J7" s="9">
        <v>4334</v>
      </c>
      <c r="L7" s="9">
        <v>1447.6657</v>
      </c>
      <c r="M7" s="11">
        <f t="shared" si="0"/>
        <v>3.067006422822617</v>
      </c>
      <c r="N7" s="11">
        <f t="shared" si="1"/>
        <v>2.9654636426075438</v>
      </c>
      <c r="O7" s="11">
        <f t="shared" si="2"/>
        <v>2.9951666327384836</v>
      </c>
      <c r="P7" s="11">
        <f t="shared" si="3"/>
        <v>3.1699307374623853</v>
      </c>
      <c r="Q7" s="11">
        <f t="shared" si="4"/>
        <v>2.993785098313789</v>
      </c>
    </row>
    <row r="8" spans="1:17" x14ac:dyDescent="0.3">
      <c r="A8" s="4">
        <v>46059</v>
      </c>
      <c r="B8" s="6">
        <f>4593/0.58</f>
        <v>7918.9655172413795</v>
      </c>
      <c r="C8" s="6">
        <f>4698/0.575</f>
        <v>8170.434782608696</v>
      </c>
      <c r="D8" s="6">
        <f>4545/0.575</f>
        <v>7904.347826086957</v>
      </c>
      <c r="E8" s="6">
        <v>950000</v>
      </c>
      <c r="F8" s="9">
        <v>4593</v>
      </c>
      <c r="G8" s="9">
        <v>4388</v>
      </c>
      <c r="H8" s="9">
        <v>4491</v>
      </c>
      <c r="I8" s="9">
        <v>4530</v>
      </c>
      <c r="J8" s="9">
        <v>4246</v>
      </c>
      <c r="L8" s="9">
        <v>1430.5889999999999</v>
      </c>
      <c r="M8" s="11">
        <f t="shared" si="0"/>
        <v>3.2105657180364173</v>
      </c>
      <c r="N8" s="11">
        <f t="shared" si="1"/>
        <v>3.067268097266231</v>
      </c>
      <c r="O8" s="11">
        <f t="shared" si="2"/>
        <v>3.1392664140434468</v>
      </c>
      <c r="P8" s="11">
        <f t="shared" si="3"/>
        <v>3.166527912628994</v>
      </c>
      <c r="Q8" s="11">
        <f t="shared" si="4"/>
        <v>2.9680082819034679</v>
      </c>
    </row>
    <row r="9" spans="1:17" x14ac:dyDescent="0.3">
      <c r="A9" s="4">
        <v>46066</v>
      </c>
      <c r="B9" s="6">
        <f>4754/0.58</f>
        <v>8196.5517241379312</v>
      </c>
      <c r="C9" s="6">
        <f>4696/0.575</f>
        <v>8166.9565217391309</v>
      </c>
      <c r="D9" s="6">
        <f>4772/0.575</f>
        <v>8299.1304347826099</v>
      </c>
      <c r="E9" s="6">
        <v>1200000</v>
      </c>
      <c r="F9" s="9">
        <v>4754</v>
      </c>
      <c r="G9" s="9">
        <v>4638</v>
      </c>
      <c r="H9" s="9">
        <v>4661</v>
      </c>
      <c r="I9" s="9">
        <v>4590</v>
      </c>
      <c r="J9" s="9">
        <v>4438</v>
      </c>
      <c r="L9" s="9">
        <v>1395.4204999999999</v>
      </c>
      <c r="M9" s="11">
        <f t="shared" si="0"/>
        <v>3.4068583627659192</v>
      </c>
      <c r="N9" s="11">
        <f t="shared" si="1"/>
        <v>3.3237292988027622</v>
      </c>
      <c r="O9" s="11">
        <f t="shared" si="2"/>
        <v>3.3402117856230435</v>
      </c>
      <c r="P9" s="11">
        <f t="shared" si="3"/>
        <v>3.2893310654386978</v>
      </c>
      <c r="Q9" s="11">
        <f t="shared" si="4"/>
        <v>3.1804033264524922</v>
      </c>
    </row>
    <row r="10" spans="1:17" x14ac:dyDescent="0.3">
      <c r="A10" s="4">
        <v>46073</v>
      </c>
      <c r="B10" s="6">
        <f>4773/0.58</f>
        <v>8229.310344827587</v>
      </c>
      <c r="C10" s="6">
        <f>5089/0.575</f>
        <v>8850.434782608696</v>
      </c>
      <c r="D10" s="6">
        <f>4958/0.575</f>
        <v>8622.608695652174</v>
      </c>
      <c r="E10" s="6">
        <v>1200000</v>
      </c>
      <c r="F10" s="9">
        <v>4773</v>
      </c>
      <c r="G10" s="9">
        <v>4723</v>
      </c>
      <c r="H10" s="9">
        <v>4713</v>
      </c>
      <c r="I10" s="9">
        <v>4677</v>
      </c>
      <c r="J10" s="9">
        <v>4664</v>
      </c>
      <c r="L10" s="9">
        <v>1384.2049999999999</v>
      </c>
      <c r="M10" s="11">
        <f t="shared" si="0"/>
        <v>3.4481886714756849</v>
      </c>
      <c r="N10" s="11">
        <f t="shared" si="1"/>
        <v>3.4120668542593044</v>
      </c>
      <c r="O10" s="11">
        <f t="shared" si="2"/>
        <v>3.4048424908160282</v>
      </c>
      <c r="P10" s="11">
        <f t="shared" si="3"/>
        <v>3.3788347824202343</v>
      </c>
      <c r="Q10" s="11">
        <f t="shared" si="4"/>
        <v>3.3694431099439752</v>
      </c>
    </row>
    <row r="11" spans="1:17" x14ac:dyDescent="0.3">
      <c r="A11" s="4">
        <v>46080</v>
      </c>
      <c r="B11" s="6">
        <f>5055/0.58</f>
        <v>8715.5172413793116</v>
      </c>
      <c r="C11" s="6">
        <f>5203/0.575</f>
        <v>9048.6956521739139</v>
      </c>
      <c r="D11" s="6">
        <f>5085/0.575</f>
        <v>8843.4782608695659</v>
      </c>
      <c r="E11" s="6">
        <v>1200000</v>
      </c>
      <c r="F11" s="9">
        <v>5055</v>
      </c>
      <c r="G11" s="9">
        <v>4750</v>
      </c>
      <c r="H11" s="9">
        <v>4762</v>
      </c>
      <c r="I11" s="9">
        <v>4739</v>
      </c>
      <c r="J11" s="9">
        <v>4451</v>
      </c>
      <c r="L11" s="9">
        <v>1408.9662000000001</v>
      </c>
      <c r="M11" s="11">
        <f t="shared" si="0"/>
        <v>3.5877368811260339</v>
      </c>
      <c r="N11" s="11">
        <f t="shared" si="1"/>
        <v>3.3712661098612582</v>
      </c>
      <c r="O11" s="11">
        <f t="shared" si="2"/>
        <v>3.3797829926651186</v>
      </c>
      <c r="P11" s="11">
        <f t="shared" si="3"/>
        <v>3.3634589672910535</v>
      </c>
      <c r="Q11" s="11">
        <f t="shared" si="4"/>
        <v>3.1590537799984131</v>
      </c>
    </row>
    <row r="12" spans="1:17" x14ac:dyDescent="0.3">
      <c r="A12" s="4">
        <v>46087</v>
      </c>
      <c r="B12" s="6">
        <f>5159.5/0.58</f>
        <v>8895.6896551724149</v>
      </c>
      <c r="C12" s="6">
        <f>4847.9/0.575</f>
        <v>8431.1304347826081</v>
      </c>
      <c r="D12" s="6">
        <f>5047/0.575</f>
        <v>8777.391304347826</v>
      </c>
      <c r="E12" s="6">
        <v>1150000</v>
      </c>
      <c r="F12" s="9">
        <v>4848</v>
      </c>
      <c r="G12" s="9">
        <v>4670</v>
      </c>
      <c r="H12" s="9">
        <v>4683</v>
      </c>
      <c r="I12" s="9">
        <v>4556</v>
      </c>
      <c r="J12" s="9">
        <v>4426</v>
      </c>
      <c r="L12" s="9">
        <v>1413.8217999999999</v>
      </c>
      <c r="M12" s="11">
        <f t="shared" si="0"/>
        <v>3.4290035703226533</v>
      </c>
      <c r="N12" s="11">
        <f t="shared" si="1"/>
        <v>3.3031036867588264</v>
      </c>
      <c r="O12" s="11">
        <f t="shared" si="2"/>
        <v>3.3122986220752857</v>
      </c>
      <c r="P12" s="11">
        <f t="shared" si="3"/>
        <v>3.2224711770606453</v>
      </c>
      <c r="Q12" s="11">
        <f t="shared" si="4"/>
        <v>3.1305218238960526</v>
      </c>
    </row>
    <row r="13" spans="1:17" x14ac:dyDescent="0.3">
      <c r="A13" s="4">
        <v>46094</v>
      </c>
      <c r="B13" s="6">
        <f>5012/0.58</f>
        <v>8641.3793103448279</v>
      </c>
      <c r="C13" s="6">
        <f>4709/0.575</f>
        <v>8189.5652173913049</v>
      </c>
      <c r="D13" s="6">
        <f>4914/0.575</f>
        <v>8546.0869565217399</v>
      </c>
      <c r="E13" s="6">
        <v>1200000</v>
      </c>
      <c r="F13" s="9">
        <v>4709</v>
      </c>
      <c r="G13" s="9">
        <v>4699</v>
      </c>
      <c r="H13" s="9">
        <v>4608</v>
      </c>
      <c r="I13" s="9">
        <v>4606</v>
      </c>
      <c r="J13" s="9">
        <v>4189</v>
      </c>
      <c r="L13" s="9">
        <v>1392.98</v>
      </c>
      <c r="M13" s="11">
        <f t="shared" si="0"/>
        <v>3.3805223334146937</v>
      </c>
      <c r="N13" s="11">
        <f t="shared" si="1"/>
        <v>3.373343479446941</v>
      </c>
      <c r="O13" s="11">
        <f t="shared" si="2"/>
        <v>3.3080159083403924</v>
      </c>
      <c r="P13" s="11">
        <f t="shared" si="3"/>
        <v>3.3065801375468418</v>
      </c>
      <c r="Q13" s="11">
        <f t="shared" si="4"/>
        <v>3.007221927091559</v>
      </c>
    </row>
    <row r="14" spans="1:17" x14ac:dyDescent="0.3">
      <c r="A14" s="4">
        <v>46101</v>
      </c>
      <c r="B14" s="6">
        <f>5152/0.58</f>
        <v>8882.7586206896558</v>
      </c>
      <c r="C14" s="6">
        <f>4649/0.575</f>
        <v>8085.2173913043489</v>
      </c>
      <c r="D14" s="6">
        <f>4798/0.575</f>
        <v>8344.3478260869579</v>
      </c>
      <c r="E14" s="6">
        <v>1100000</v>
      </c>
      <c r="F14" s="9">
        <v>4649</v>
      </c>
      <c r="G14" s="9">
        <v>4620</v>
      </c>
      <c r="H14" s="9">
        <v>4694</v>
      </c>
      <c r="I14" s="9">
        <v>4569</v>
      </c>
      <c r="J14" s="9">
        <v>3968</v>
      </c>
      <c r="L14" s="9">
        <v>1393.44</v>
      </c>
      <c r="M14" s="11">
        <f t="shared" si="0"/>
        <v>3.3363474566540359</v>
      </c>
      <c r="N14" s="11">
        <f t="shared" si="1"/>
        <v>3.3155356527729931</v>
      </c>
      <c r="O14" s="11">
        <f t="shared" si="2"/>
        <v>3.3686416350901367</v>
      </c>
      <c r="P14" s="11">
        <f t="shared" si="3"/>
        <v>3.278935583878746</v>
      </c>
      <c r="Q14" s="11">
        <f t="shared" si="4"/>
        <v>2.8476288896543802</v>
      </c>
    </row>
    <row r="15" spans="1:17" x14ac:dyDescent="0.3">
      <c r="A15" s="4">
        <v>46108</v>
      </c>
      <c r="B15" s="6">
        <f>4851/0.58</f>
        <v>8363.7931034482772</v>
      </c>
      <c r="C15" s="6">
        <f>4572/0.575</f>
        <v>7951.3043478260879</v>
      </c>
      <c r="D15" s="6">
        <f>4756/0.575</f>
        <v>8271.3043478260879</v>
      </c>
      <c r="E15" s="6">
        <v>1100000</v>
      </c>
      <c r="F15" s="9">
        <v>4572</v>
      </c>
      <c r="G15" s="9">
        <v>4542</v>
      </c>
      <c r="H15" s="9">
        <v>4429</v>
      </c>
      <c r="I15" s="9">
        <v>4386</v>
      </c>
      <c r="J15" s="9">
        <v>4250</v>
      </c>
      <c r="L15" s="9">
        <v>1376</v>
      </c>
      <c r="M15" s="11">
        <f t="shared" si="0"/>
        <v>3.3226744186046511</v>
      </c>
      <c r="N15" s="11">
        <f t="shared" si="1"/>
        <v>3.3008720930232558</v>
      </c>
      <c r="O15" s="11">
        <f t="shared" si="2"/>
        <v>3.21875</v>
      </c>
      <c r="P15" s="11">
        <f t="shared" si="3"/>
        <v>3.1875</v>
      </c>
      <c r="Q15" s="11">
        <f t="shared" si="4"/>
        <v>3.0886627906976742</v>
      </c>
    </row>
    <row r="16" spans="1:17" x14ac:dyDescent="0.3">
      <c r="A16" s="4">
        <v>46115</v>
      </c>
      <c r="B16" s="6">
        <f>4539/0.58</f>
        <v>7825.8620689655181</v>
      </c>
      <c r="C16" s="6">
        <f>4929/0.575</f>
        <v>8572.173913043478</v>
      </c>
      <c r="D16" s="6">
        <f>4639/0.575</f>
        <v>8067.826086956522</v>
      </c>
      <c r="E16" s="6">
        <v>1100000</v>
      </c>
      <c r="F16" s="9">
        <v>4539</v>
      </c>
      <c r="G16" s="9">
        <v>4399</v>
      </c>
      <c r="H16" s="9">
        <v>4335</v>
      </c>
      <c r="I16" s="9">
        <v>4280</v>
      </c>
      <c r="J16" s="9">
        <v>4078</v>
      </c>
      <c r="L16" s="9">
        <v>1387.7</v>
      </c>
      <c r="M16" s="11">
        <f t="shared" si="0"/>
        <v>3.2708798731714346</v>
      </c>
      <c r="N16" s="11">
        <f t="shared" si="1"/>
        <v>3.1699935144483677</v>
      </c>
      <c r="O16" s="11">
        <f t="shared" si="2"/>
        <v>3.1238740361749655</v>
      </c>
      <c r="P16" s="11">
        <f t="shared" si="3"/>
        <v>3.0842401095337606</v>
      </c>
      <c r="Q16" s="11">
        <f t="shared" si="4"/>
        <v>2.9386755062333356</v>
      </c>
    </row>
    <row r="17" spans="1:17" x14ac:dyDescent="0.3">
      <c r="A17" s="4">
        <v>46122</v>
      </c>
      <c r="B17" s="6">
        <f>4575/0.58</f>
        <v>7887.9310344827591</v>
      </c>
      <c r="C17" s="6">
        <f>4959/0.575</f>
        <v>8624.3478260869579</v>
      </c>
      <c r="D17" s="6">
        <f>4852/0.575</f>
        <v>8438.2608695652179</v>
      </c>
      <c r="E17" s="6">
        <v>1000000</v>
      </c>
      <c r="F17" s="9">
        <v>4575</v>
      </c>
      <c r="G17" s="9">
        <v>4450</v>
      </c>
      <c r="H17" s="9">
        <v>4408</v>
      </c>
      <c r="I17" s="9">
        <v>4324</v>
      </c>
      <c r="J17" s="9">
        <v>4134</v>
      </c>
      <c r="L17" s="9">
        <v>1373.9</v>
      </c>
      <c r="M17" s="11">
        <f>+F17/L17</f>
        <v>3.3299366766140182</v>
      </c>
      <c r="N17" s="11">
        <f>+G17/L17</f>
        <v>3.2389548002037993</v>
      </c>
      <c r="O17" s="11">
        <f>+H17/L17</f>
        <v>3.2083848897299654</v>
      </c>
      <c r="P17" s="11">
        <f>+I17/L17</f>
        <v>3.1472450687822984</v>
      </c>
      <c r="Q17" s="11">
        <f>+J17/L17</f>
        <v>3.0089526166387652</v>
      </c>
    </row>
    <row r="18" spans="1:17" x14ac:dyDescent="0.3">
      <c r="A18" s="4">
        <v>46129</v>
      </c>
      <c r="B18" s="6">
        <f>4560/0.58</f>
        <v>7862.0689655172418</v>
      </c>
      <c r="C18" s="6">
        <f>4889/0.575</f>
        <v>8502.608695652174</v>
      </c>
      <c r="D18" s="6">
        <f>4719/0.575</f>
        <v>8206.9565217391319</v>
      </c>
      <c r="E18" s="6"/>
      <c r="F18" s="9">
        <v>4560</v>
      </c>
      <c r="G18" s="9">
        <v>4354</v>
      </c>
      <c r="H18" s="9">
        <v>4335</v>
      </c>
      <c r="I18" s="9">
        <v>4375</v>
      </c>
      <c r="J18" s="9">
        <v>4023</v>
      </c>
      <c r="L18" s="9">
        <v>1360.03</v>
      </c>
      <c r="M18" s="11">
        <f>+F18/L18</f>
        <v>3.3528672161643494</v>
      </c>
      <c r="N18" s="11">
        <f>+G18/L18</f>
        <v>3.2013999691183281</v>
      </c>
      <c r="O18" s="11">
        <f>+H18/L18</f>
        <v>3.187429689050977</v>
      </c>
      <c r="P18" s="11">
        <f>+I18/L18</f>
        <v>3.216840804982243</v>
      </c>
      <c r="Q18" s="11">
        <f>+J18/L18</f>
        <v>2.9580229847871005</v>
      </c>
    </row>
    <row r="19" spans="1:17" x14ac:dyDescent="0.3">
      <c r="A19" s="4">
        <v>46136</v>
      </c>
      <c r="B19" s="6">
        <f>4764/0.58</f>
        <v>8213.7931034482772</v>
      </c>
      <c r="C19" s="6">
        <f>5008/0.575</f>
        <v>8709.5652173913059</v>
      </c>
      <c r="D19" s="6">
        <f>4817/0.575</f>
        <v>8377.391304347826</v>
      </c>
      <c r="E19" s="6"/>
      <c r="F19" s="9">
        <v>4764</v>
      </c>
      <c r="G19" s="9">
        <v>4516</v>
      </c>
      <c r="H19" s="9">
        <v>4424</v>
      </c>
      <c r="I19" s="9">
        <v>4422</v>
      </c>
      <c r="J19" s="9">
        <v>4366</v>
      </c>
      <c r="L19" s="9">
        <v>1397.21</v>
      </c>
      <c r="M19" s="11">
        <f>+F19/L19</f>
        <v>3.4096520923841083</v>
      </c>
      <c r="N19" s="11">
        <f>+G19/L19</f>
        <v>3.2321555099090329</v>
      </c>
      <c r="O19" s="11">
        <f>+H19/L19</f>
        <v>3.1663100035069887</v>
      </c>
      <c r="P19" s="11">
        <f>+I19/L19</f>
        <v>3.1648785794547707</v>
      </c>
      <c r="Q19" s="11">
        <f>+J19/L19</f>
        <v>3.1247987059926565</v>
      </c>
    </row>
    <row r="20" spans="1:17" x14ac:dyDescent="0.3">
      <c r="A20" s="4">
        <v>46143</v>
      </c>
      <c r="B20" s="6"/>
      <c r="C20" s="6"/>
      <c r="D20" s="6"/>
      <c r="E20" s="6"/>
      <c r="F20" s="9"/>
      <c r="G20" s="9"/>
      <c r="H20" s="9"/>
      <c r="I20" s="9"/>
      <c r="J20" s="9"/>
    </row>
    <row r="21" spans="1:17" x14ac:dyDescent="0.3">
      <c r="A21" s="4">
        <v>46150</v>
      </c>
      <c r="B21" s="6"/>
      <c r="C21" s="6"/>
      <c r="D21" s="6"/>
      <c r="E21" s="6"/>
      <c r="F21" s="9"/>
      <c r="G21" s="9"/>
      <c r="H21" s="9"/>
      <c r="I21" s="9"/>
      <c r="J21" s="9"/>
    </row>
    <row r="22" spans="1:17" x14ac:dyDescent="0.3">
      <c r="A22" s="4">
        <v>46157</v>
      </c>
      <c r="B22" s="6"/>
      <c r="C22" s="6"/>
      <c r="D22" s="6"/>
      <c r="E22" s="6"/>
      <c r="F22" s="9"/>
      <c r="G22" s="9"/>
      <c r="H22" s="9"/>
      <c r="I22" s="9"/>
      <c r="J22" s="9"/>
    </row>
    <row r="23" spans="1:17" x14ac:dyDescent="0.3">
      <c r="A23" s="4">
        <v>46164</v>
      </c>
      <c r="B23" s="6"/>
      <c r="C23" s="6"/>
      <c r="D23" s="6"/>
      <c r="E23" s="6"/>
      <c r="F23" s="9"/>
    </row>
  </sheetData>
  <mergeCells count="2">
    <mergeCell ref="F1:J1"/>
    <mergeCell ref="M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7A1B-B68D-4422-8E83-D0DFDE27A256}">
  <dimension ref="A1:H10"/>
  <sheetViews>
    <sheetView tabSelected="1" workbookViewId="0">
      <selection activeCell="I15" sqref="I15"/>
    </sheetView>
  </sheetViews>
  <sheetFormatPr baseColWidth="10" defaultRowHeight="14.4" x14ac:dyDescent="0.3"/>
  <cols>
    <col min="2" max="2" width="13" customWidth="1"/>
    <col min="3" max="3" width="12.6640625" customWidth="1"/>
    <col min="4" max="4" width="16" customWidth="1"/>
    <col min="5" max="5" width="13.109375" customWidth="1"/>
    <col min="6" max="6" width="15.21875" customWidth="1"/>
    <col min="7" max="7" width="12.5546875" customWidth="1"/>
    <col min="8" max="8" width="15.109375" customWidth="1"/>
  </cols>
  <sheetData>
    <row r="1" spans="1:8" x14ac:dyDescent="0.3">
      <c r="B1" s="15" t="s">
        <v>44</v>
      </c>
      <c r="C1" t="s">
        <v>41</v>
      </c>
      <c r="D1" t="s">
        <v>42</v>
      </c>
      <c r="E1" t="s">
        <v>43</v>
      </c>
      <c r="F1" s="8" t="s">
        <v>16</v>
      </c>
      <c r="G1" s="8" t="s">
        <v>14</v>
      </c>
      <c r="H1" s="8" t="s">
        <v>17</v>
      </c>
    </row>
    <row r="2" spans="1:8" x14ac:dyDescent="0.3">
      <c r="A2" s="16">
        <v>46023</v>
      </c>
      <c r="B2" s="1">
        <f>AVERAGE('ccdh orden'!B5:H9)*0.585</f>
        <v>4382.4857142857145</v>
      </c>
      <c r="C2" s="1">
        <f>AVERAGE('ccdh orden'!I5:I9)</f>
        <v>5760</v>
      </c>
      <c r="D2" s="1">
        <f>AVERAGE('ccdh orden'!J5:J9)</f>
        <v>4880</v>
      </c>
      <c r="E2" s="1">
        <f>AVERAGE('MDO AGROGANADERO'!E3:E7)</f>
        <v>950000</v>
      </c>
      <c r="F2" s="1">
        <f>AVERAGE('MDO AGROGANADERO'!B3:D7)*0.57</f>
        <v>4328.1931634182911</v>
      </c>
      <c r="G2" s="1">
        <f>AVERAGE('ccdh orden'!N5:N9)</f>
        <v>5500</v>
      </c>
      <c r="H2" s="1">
        <f>AVERAGE('ccdh orden'!O5:O9)</f>
        <v>5180</v>
      </c>
    </row>
    <row r="3" spans="1:8" x14ac:dyDescent="0.3">
      <c r="A3" s="16">
        <v>46054</v>
      </c>
      <c r="B3" s="1">
        <f>AVERAGE('ccdh orden'!B10:H13)*0.585</f>
        <v>4690.4464285714284</v>
      </c>
      <c r="C3" s="1">
        <f>AVERAGE('ccdh orden'!I10:I13)</f>
        <v>6050</v>
      </c>
      <c r="D3" s="1">
        <f>AVERAGE('ccdh orden'!J10:J13)</f>
        <v>5450</v>
      </c>
      <c r="E3" s="1">
        <f>AVERAGE('MDO AGROGANADERO'!E8:E11)</f>
        <v>1137500</v>
      </c>
      <c r="F3" s="1">
        <f>AVERAGE('MDO AGROGANADERO'!B8:D11)*0.57</f>
        <v>4795.9055097451273</v>
      </c>
      <c r="G3" s="1">
        <f>AVERAGE('ccdh orden'!N10:N13)</f>
        <v>5600</v>
      </c>
      <c r="H3" s="1">
        <f>AVERAGE('ccdh orden'!O10:O13)</f>
        <v>5350</v>
      </c>
    </row>
    <row r="4" spans="1:8" x14ac:dyDescent="0.3">
      <c r="A4" s="16">
        <v>46082</v>
      </c>
      <c r="B4" s="1">
        <f>AVERAGE('ccdh orden'!B14:H17)*0.585</f>
        <v>4759.3928571428569</v>
      </c>
      <c r="C4" s="1">
        <f>AVERAGE('ccdh orden'!I14:I17)</f>
        <v>6750</v>
      </c>
      <c r="D4" s="1">
        <f>AVERAGE('ccdh orden'!J14:J17)</f>
        <v>6000</v>
      </c>
      <c r="E4" s="1">
        <f>AVERAGE('MDO AGROGANADERO'!E12:E15)</f>
        <v>1137500</v>
      </c>
      <c r="F4" s="1">
        <f>AVERAGE('MDO AGROGANADERO'!B12:D15)*0.57</f>
        <v>4815.5485044977504</v>
      </c>
      <c r="G4" s="1">
        <f>AVERAGE('ccdh orden'!N14:N17)</f>
        <v>5850</v>
      </c>
      <c r="H4" s="1">
        <f>AVERAGE('ccdh orden'!O14:O17)</f>
        <v>5725</v>
      </c>
    </row>
    <row r="5" spans="1:8" x14ac:dyDescent="0.3">
      <c r="A5" s="16">
        <v>46113</v>
      </c>
      <c r="B5" s="1"/>
      <c r="C5" s="1"/>
      <c r="D5" s="1"/>
      <c r="E5" s="1"/>
      <c r="F5" s="1"/>
      <c r="G5" s="1"/>
      <c r="H5" s="1"/>
    </row>
    <row r="6" spans="1:8" x14ac:dyDescent="0.3">
      <c r="A6" s="16">
        <v>46143</v>
      </c>
      <c r="B6" s="1"/>
      <c r="C6" s="1"/>
      <c r="D6" s="1"/>
      <c r="E6" s="1"/>
      <c r="F6" s="1"/>
      <c r="G6" s="1"/>
      <c r="H6" s="1"/>
    </row>
    <row r="7" spans="1:8" x14ac:dyDescent="0.3">
      <c r="A7" s="16">
        <v>46174</v>
      </c>
      <c r="B7" s="1"/>
      <c r="C7" s="1"/>
      <c r="D7" s="1"/>
      <c r="E7" s="1"/>
      <c r="F7" s="1"/>
      <c r="G7" s="1"/>
      <c r="H7" s="1"/>
    </row>
    <row r="8" spans="1:8" x14ac:dyDescent="0.3">
      <c r="A8" s="16">
        <v>46204</v>
      </c>
      <c r="B8" s="1"/>
      <c r="C8" s="1"/>
      <c r="D8" s="1"/>
      <c r="E8" s="1"/>
      <c r="F8" s="1"/>
      <c r="G8" s="1"/>
      <c r="H8" s="1"/>
    </row>
    <row r="9" spans="1:8" x14ac:dyDescent="0.3">
      <c r="A9" s="16">
        <v>46235</v>
      </c>
      <c r="B9" s="1"/>
      <c r="C9" s="1"/>
      <c r="D9" s="1"/>
      <c r="E9" s="1"/>
      <c r="F9" s="1"/>
      <c r="G9" s="1"/>
      <c r="H9" s="1"/>
    </row>
    <row r="10" spans="1:8" x14ac:dyDescent="0.3">
      <c r="A10" s="16">
        <v>46266</v>
      </c>
      <c r="B10" s="1"/>
      <c r="C10" s="1"/>
      <c r="D10" s="1"/>
      <c r="E10" s="1"/>
      <c r="F10" s="1"/>
      <c r="G10" s="1"/>
      <c r="H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ccdh orden</vt:lpstr>
      <vt:lpstr>MDO AGROGANADERO</vt:lpstr>
      <vt:lpstr>PROMEDIOS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Agustina Scarano</dc:creator>
  <cp:lastModifiedBy>Agustina Scarano</cp:lastModifiedBy>
  <dcterms:created xsi:type="dcterms:W3CDTF">2026-04-17T18:06:00Z</dcterms:created>
  <dcterms:modified xsi:type="dcterms:W3CDTF">2026-04-27T14:00:00Z</dcterms:modified>
</cp:coreProperties>
</file>